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kanairyota/Desktop/"/>
    </mc:Choice>
  </mc:AlternateContent>
  <xr:revisionPtr revIDLastSave="0" documentId="13_ncr:1_{094ED02E-EB35-9344-A86B-7E67E35432CB}" xr6:coauthVersionLast="47" xr6:coauthVersionMax="47" xr10:uidLastSave="{00000000-0000-0000-0000-000000000000}"/>
  <bookViews>
    <workbookView xWindow="0" yWindow="660" windowWidth="29400" windowHeight="18460" xr2:uid="{0C86A903-6396-CC40-91E5-8BD615AB1E08}"/>
  </bookViews>
  <sheets>
    <sheet name="見積もり" sheetId="1" r:id="rId1"/>
    <sheet name="建築にかかわる費用" sheetId="2" r:id="rId2"/>
    <sheet name="資金計画" sheetId="3" r:id="rId3"/>
  </sheets>
  <definedNames>
    <definedName name="_xlnm.Print_Area" localSheetId="0">見積もり!$A$1:$AA$111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5" i="1" l="1"/>
  <c r="I77" i="2"/>
  <c r="I67" i="2"/>
  <c r="I55" i="2"/>
  <c r="I46" i="2"/>
  <c r="I38" i="2"/>
  <c r="I28" i="2"/>
  <c r="O11" i="2"/>
  <c r="H58" i="1"/>
  <c r="E49" i="1"/>
  <c r="I49" i="1" s="1"/>
  <c r="E48" i="1"/>
  <c r="X70" i="1"/>
  <c r="X71" i="1"/>
  <c r="X72" i="1"/>
  <c r="X73" i="1"/>
  <c r="X74" i="1"/>
  <c r="X75" i="1"/>
  <c r="X76" i="1"/>
  <c r="X77" i="1"/>
  <c r="X78" i="1"/>
  <c r="X79" i="1"/>
  <c r="X80" i="1"/>
  <c r="X69" i="1"/>
  <c r="E51" i="1" l="1"/>
  <c r="I51" i="1" s="1"/>
  <c r="I48" i="1"/>
  <c r="T37" i="3" l="1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36" i="3"/>
  <c r="T35" i="3"/>
  <c r="L21" i="3"/>
  <c r="P21" i="3" s="1"/>
  <c r="S21" i="3" s="1"/>
  <c r="L22" i="3"/>
  <c r="P22" i="3" s="1"/>
  <c r="S22" i="3" s="1"/>
  <c r="L20" i="3"/>
  <c r="P20" i="3" s="1"/>
  <c r="S20" i="3" s="1"/>
  <c r="M26" i="3" s="1"/>
  <c r="X87" i="1" l="1"/>
  <c r="X88" i="1"/>
  <c r="X89" i="1"/>
  <c r="X90" i="1"/>
  <c r="X91" i="1"/>
  <c r="X92" i="1"/>
  <c r="X93" i="1"/>
  <c r="X94" i="1"/>
  <c r="X86" i="1"/>
  <c r="N96" i="1" l="1"/>
  <c r="N82" i="1"/>
  <c r="I12" i="2" s="1"/>
  <c r="N67" i="1"/>
  <c r="V6" i="1"/>
  <c r="V5" i="1"/>
  <c r="V2" i="2" s="1"/>
  <c r="Q101" i="1" l="1"/>
  <c r="Q105" i="1" s="1"/>
  <c r="Q109" i="1" s="1"/>
  <c r="I11" i="2"/>
  <c r="N20" i="1"/>
  <c r="N22" i="1"/>
  <c r="I13" i="2"/>
  <c r="N24" i="1"/>
  <c r="N27" i="1" l="1"/>
  <c r="N30" i="1" s="1"/>
  <c r="N33" i="1" s="1"/>
  <c r="K10" i="1" s="1"/>
  <c r="I16" i="2"/>
  <c r="I18" i="2" l="1"/>
  <c r="S81" i="2" s="1"/>
  <c r="M8" i="3" s="1"/>
  <c r="M10" i="3" s="1"/>
  <c r="M13" i="3" s="1"/>
  <c r="M28" i="3" s="1"/>
</calcChain>
</file>

<file path=xl/sharedStrings.xml><?xml version="1.0" encoding="utf-8"?>
<sst xmlns="http://schemas.openxmlformats.org/spreadsheetml/2006/main" count="268" uniqueCount="152">
  <si>
    <t>作成日</t>
  </si>
  <si>
    <t>有効期限</t>
  </si>
  <si>
    <t>山田 親太朗</t>
    <rPh sb="0" eb="2">
      <t>ヤマ</t>
    </rPh>
    <rPh sb="3" eb="6">
      <t>シンタロウ</t>
    </rPh>
    <phoneticPr fontId="1"/>
  </si>
  <si>
    <t>床面積</t>
  </si>
  <si>
    <t>1F</t>
  </si>
  <si>
    <t>2F</t>
    <phoneticPr fontId="1"/>
  </si>
  <si>
    <t>㎡</t>
    <phoneticPr fontId="1"/>
  </si>
  <si>
    <t>坪</t>
  </si>
  <si>
    <t>合計</t>
    <rPh sb="0" eb="2">
      <t>ゴウケイ</t>
    </rPh>
    <phoneticPr fontId="1"/>
  </si>
  <si>
    <t>建物基本本体価格</t>
  </si>
  <si>
    <t>円</t>
    <rPh sb="0" eb="1">
      <t>エn</t>
    </rPh>
    <phoneticPr fontId="1"/>
  </si>
  <si>
    <t>様</t>
    <rPh sb="0" eb="1">
      <t>サマ</t>
    </rPh>
    <phoneticPr fontId="1"/>
  </si>
  <si>
    <t>No.0000</t>
    <phoneticPr fontId="2"/>
  </si>
  <si>
    <t>円（税込）</t>
    <rPh sb="0" eb="1">
      <t>エn</t>
    </rPh>
    <rPh sb="2" eb="4">
      <t>ゼイコミ</t>
    </rPh>
    <phoneticPr fontId="1"/>
  </si>
  <si>
    <t>建物基本本体価格</t>
    <phoneticPr fontId="1"/>
  </si>
  <si>
    <t>請負金額</t>
    <rPh sb="0" eb="2">
      <t>ウケオイ</t>
    </rPh>
    <rPh sb="2" eb="4">
      <t>キンガク</t>
    </rPh>
    <phoneticPr fontId="1"/>
  </si>
  <si>
    <t>オプション工事価格</t>
    <phoneticPr fontId="1"/>
  </si>
  <si>
    <t>付帯工事価格</t>
    <phoneticPr fontId="1"/>
  </si>
  <si>
    <t>小計</t>
    <phoneticPr fontId="1"/>
  </si>
  <si>
    <t>消費税</t>
    <phoneticPr fontId="1"/>
  </si>
  <si>
    <t>内訳</t>
    <rPh sb="0" eb="2">
      <t>ウチワケ</t>
    </rPh>
    <phoneticPr fontId="1"/>
  </si>
  <si>
    <t>備考</t>
    <rPh sb="0" eb="2">
      <t>ビコウ</t>
    </rPh>
    <phoneticPr fontId="1"/>
  </si>
  <si>
    <t>　備考</t>
    <rPh sb="1" eb="3">
      <t>ビコウ</t>
    </rPh>
    <phoneticPr fontId="1"/>
  </si>
  <si>
    <t>商品名</t>
    <phoneticPr fontId="1"/>
  </si>
  <si>
    <t>べた基礎</t>
    <phoneticPr fontId="1"/>
  </si>
  <si>
    <t>在来軸組工法</t>
    <phoneticPr fontId="1"/>
  </si>
  <si>
    <t>物件概要</t>
    <phoneticPr fontId="1"/>
  </si>
  <si>
    <t>工事内容</t>
    <phoneticPr fontId="1"/>
  </si>
  <si>
    <t>数量</t>
    <phoneticPr fontId="1"/>
  </si>
  <si>
    <t>単位</t>
    <phoneticPr fontId="1"/>
  </si>
  <si>
    <t>単価</t>
    <phoneticPr fontId="1"/>
  </si>
  <si>
    <t>金額</t>
    <rPh sb="0" eb="2">
      <t>キn</t>
    </rPh>
    <phoneticPr fontId="1"/>
  </si>
  <si>
    <t>基本本体工事</t>
    <phoneticPr fontId="1"/>
  </si>
  <si>
    <t>工法</t>
    <rPh sb="0" eb="2">
      <t>コウホウ</t>
    </rPh>
    <phoneticPr fontId="1"/>
  </si>
  <si>
    <t>商品名</t>
    <rPh sb="0" eb="3">
      <t>ショウヒn</t>
    </rPh>
    <phoneticPr fontId="1"/>
  </si>
  <si>
    <t>総合計</t>
    <rPh sb="0" eb="1">
      <t>ソウガク</t>
    </rPh>
    <phoneticPr fontId="1"/>
  </si>
  <si>
    <t>消費税</t>
    <rPh sb="0" eb="3">
      <t>ショウヒゼイ</t>
    </rPh>
    <phoneticPr fontId="1"/>
  </si>
  <si>
    <t>小計</t>
    <rPh sb="0" eb="2">
      <t>ショウケイ</t>
    </rPh>
    <phoneticPr fontId="1"/>
  </si>
  <si>
    <t>建築場所</t>
    <rPh sb="0" eb="4">
      <t>ケンチク</t>
    </rPh>
    <phoneticPr fontId="1"/>
  </si>
  <si>
    <t>【2】建築概要</t>
    <phoneticPr fontId="1"/>
  </si>
  <si>
    <t>備　考</t>
    <rPh sb="0" eb="3">
      <t>ビコウ</t>
    </rPh>
    <phoneticPr fontId="1"/>
  </si>
  <si>
    <t>項目</t>
    <rPh sb="0" eb="2">
      <t>コウモク</t>
    </rPh>
    <phoneticPr fontId="1"/>
  </si>
  <si>
    <t>オプション工事費</t>
    <phoneticPr fontId="1"/>
  </si>
  <si>
    <t>建物本体価格</t>
    <phoneticPr fontId="1"/>
  </si>
  <si>
    <t>付帯工事費</t>
    <phoneticPr fontId="1"/>
  </si>
  <si>
    <t>保証料</t>
    <phoneticPr fontId="1"/>
  </si>
  <si>
    <t>手数料</t>
    <phoneticPr fontId="1"/>
  </si>
  <si>
    <t>火災保険料</t>
    <phoneticPr fontId="1"/>
  </si>
  <si>
    <t>団信保険料/年</t>
    <phoneticPr fontId="1"/>
  </si>
  <si>
    <t>つなぎ融資負担費</t>
    <phoneticPr fontId="1"/>
  </si>
  <si>
    <t>その他金融機関費用</t>
    <phoneticPr fontId="1"/>
  </si>
  <si>
    <t>② 金融機関費用合計</t>
    <phoneticPr fontId="1"/>
  </si>
  <si>
    <t>照明</t>
    <phoneticPr fontId="1"/>
  </si>
  <si>
    <t>カーテン</t>
    <phoneticPr fontId="1"/>
  </si>
  <si>
    <t>エアコン</t>
    <phoneticPr fontId="1"/>
  </si>
  <si>
    <t>家具</t>
    <phoneticPr fontId="1"/>
  </si>
  <si>
    <t>家電</t>
    <phoneticPr fontId="1"/>
  </si>
  <si>
    <t>その他インテリア費用</t>
    <phoneticPr fontId="1"/>
  </si>
  <si>
    <t>③ インテリア費用合計</t>
    <phoneticPr fontId="1"/>
  </si>
  <si>
    <t>市町村加入金</t>
    <phoneticPr fontId="1"/>
  </si>
  <si>
    <t>浄化槽補助金</t>
    <phoneticPr fontId="1"/>
  </si>
  <si>
    <t>本管引込工事</t>
    <phoneticPr fontId="1"/>
  </si>
  <si>
    <t>その他水道費用</t>
    <phoneticPr fontId="1"/>
  </si>
  <si>
    <t>④ 水道費用合計</t>
    <phoneticPr fontId="1"/>
  </si>
  <si>
    <t>土地所有権移転費</t>
    <phoneticPr fontId="1"/>
  </si>
  <si>
    <t>建物表示保存登記費</t>
    <phoneticPr fontId="1"/>
  </si>
  <si>
    <t>土地抵当権設定費</t>
    <phoneticPr fontId="1"/>
  </si>
  <si>
    <t>建物抵当権設定費</t>
    <phoneticPr fontId="1"/>
  </si>
  <si>
    <t>その他登記費用</t>
    <phoneticPr fontId="1"/>
  </si>
  <si>
    <t>⑤ 登記費用合計</t>
    <phoneticPr fontId="1"/>
  </si>
  <si>
    <t>印紙代</t>
    <phoneticPr fontId="1"/>
  </si>
  <si>
    <t>地鎮祭玉串料</t>
    <phoneticPr fontId="1"/>
  </si>
  <si>
    <t>外構工事費</t>
    <phoneticPr fontId="1"/>
  </si>
  <si>
    <t>解体工事費</t>
    <phoneticPr fontId="1"/>
  </si>
  <si>
    <t>貸付金</t>
    <phoneticPr fontId="1"/>
  </si>
  <si>
    <t>TVアンテナ</t>
    <phoneticPr fontId="1"/>
  </si>
  <si>
    <t>⑥ その他費用合計</t>
    <phoneticPr fontId="1"/>
  </si>
  <si>
    <t>土地売買代金</t>
    <phoneticPr fontId="1"/>
  </si>
  <si>
    <t>仲介手数料</t>
    <phoneticPr fontId="1"/>
  </si>
  <si>
    <t>造成工事費</t>
    <phoneticPr fontId="1"/>
  </si>
  <si>
    <t>地盤改良費</t>
    <phoneticPr fontId="1"/>
  </si>
  <si>
    <r>
      <rPr>
        <sz val="7"/>
        <color theme="1"/>
        <rFont val="ＭＳ ゴシック"/>
        <family val="2"/>
        <charset val="128"/>
      </rPr>
      <t>①＋②＋③＋④＋⑤＋⑥＋⑦</t>
    </r>
    <r>
      <rPr>
        <sz val="9"/>
        <color theme="1"/>
        <rFont val="ＭＳ ゴシック"/>
        <family val="2"/>
        <charset val="128"/>
      </rPr>
      <t xml:space="preserve">
建築に係る費用総合計A</t>
    </r>
    <phoneticPr fontId="1"/>
  </si>
  <si>
    <t>⑦ 土地関係費用合計</t>
    <phoneticPr fontId="1"/>
  </si>
  <si>
    <t>【3】新築の資金計画</t>
    <phoneticPr fontId="1"/>
  </si>
  <si>
    <t>【1】建築概要</t>
    <phoneticPr fontId="1"/>
  </si>
  <si>
    <t>保証協会にかかる費用です。</t>
    <phoneticPr fontId="1"/>
  </si>
  <si>
    <t>融資実行にかかる費用です。</t>
    <phoneticPr fontId="1"/>
  </si>
  <si>
    <t>耐火工法なので、通常の半分ほどでかけられます。</t>
    <phoneticPr fontId="1"/>
  </si>
  <si>
    <t>着工から完成するまでの金利負担分です。</t>
    <phoneticPr fontId="1"/>
  </si>
  <si>
    <t>100万円/3,361円</t>
    <phoneticPr fontId="1"/>
  </si>
  <si>
    <t>役所からメーターを購入する費用です。</t>
    <phoneticPr fontId="1"/>
  </si>
  <si>
    <t>下水道の区域以外は補助金がもらえます。</t>
    <phoneticPr fontId="1"/>
  </si>
  <si>
    <t>水道が敷地に通っていない場合の工事費。</t>
    <phoneticPr fontId="1"/>
  </si>
  <si>
    <t>金融機関名</t>
    <rPh sb="0" eb="4">
      <t>ケンチク</t>
    </rPh>
    <phoneticPr fontId="1"/>
  </si>
  <si>
    <t>必要資金合計A</t>
    <phoneticPr fontId="1"/>
  </si>
  <si>
    <t>自己資金B</t>
    <phoneticPr fontId="1"/>
  </si>
  <si>
    <t>借入金A-B</t>
    <phoneticPr fontId="1"/>
  </si>
  <si>
    <t>借入年数</t>
    <phoneticPr fontId="1"/>
  </si>
  <si>
    <t>借入利率</t>
    <phoneticPr fontId="1"/>
  </si>
  <si>
    <t>返済額/月C</t>
    <phoneticPr fontId="1"/>
  </si>
  <si>
    <t>パネル方角</t>
    <phoneticPr fontId="1"/>
  </si>
  <si>
    <t>効率</t>
    <phoneticPr fontId="1"/>
  </si>
  <si>
    <t>枚数</t>
    <phoneticPr fontId="1"/>
  </si>
  <si>
    <t>枚×270W</t>
    <phoneticPr fontId="1"/>
  </si>
  <si>
    <t>年間発電量</t>
    <phoneticPr fontId="1"/>
  </si>
  <si>
    <t>売電価格/年</t>
    <phoneticPr fontId="1"/>
  </si>
  <si>
    <t>南側</t>
    <phoneticPr fontId="1"/>
  </si>
  <si>
    <t>東側</t>
    <phoneticPr fontId="1"/>
  </si>
  <si>
    <t>西側</t>
    <phoneticPr fontId="1"/>
  </si>
  <si>
    <t>借入金額参考表</t>
    <phoneticPr fontId="1"/>
  </si>
  <si>
    <t>太陽光</t>
    <rPh sb="0" eb="3">
      <t>タイヨウ</t>
    </rPh>
    <phoneticPr fontId="1"/>
  </si>
  <si>
    <t>借入金額</t>
    <rPh sb="0" eb="2">
      <t>コウモク</t>
    </rPh>
    <phoneticPr fontId="1"/>
  </si>
  <si>
    <t>毎月返済額</t>
    <rPh sb="0" eb="2">
      <t>キn</t>
    </rPh>
    <phoneticPr fontId="1"/>
  </si>
  <si>
    <t>UP率</t>
    <rPh sb="0" eb="2">
      <t>ビコウ</t>
    </rPh>
    <phoneticPr fontId="1"/>
  </si>
  <si>
    <t>※35年返済・金利1.1％で算出</t>
    <phoneticPr fontId="1"/>
  </si>
  <si>
    <t>見積番号</t>
    <phoneticPr fontId="1"/>
  </si>
  <si>
    <t>-</t>
    <phoneticPr fontId="1"/>
  </si>
  <si>
    <t>付帯工事価格</t>
    <rPh sb="0" eb="4">
      <t xml:space="preserve">フタイコウジ </t>
    </rPh>
    <rPh sb="4" eb="6">
      <t xml:space="preserve">カカク </t>
    </rPh>
    <phoneticPr fontId="1"/>
  </si>
  <si>
    <t>式</t>
    <phoneticPr fontId="1"/>
  </si>
  <si>
    <t>円</t>
    <rPh sb="0" eb="1">
      <t xml:space="preserve">エン </t>
    </rPh>
    <phoneticPr fontId="1"/>
  </si>
  <si>
    <t>年</t>
    <rPh sb="0" eb="1">
      <t xml:space="preserve">ネン </t>
    </rPh>
    <phoneticPr fontId="1"/>
  </si>
  <si>
    <t>％</t>
    <phoneticPr fontId="1"/>
  </si>
  <si>
    <t>計画</t>
    <rPh sb="0" eb="2">
      <t xml:space="preserve">ケイカク </t>
    </rPh>
    <phoneticPr fontId="1"/>
  </si>
  <si>
    <t>元利均等返済</t>
    <rPh sb="0" eb="6">
      <t xml:space="preserve">ガンリキントウヘンサイ </t>
    </rPh>
    <phoneticPr fontId="1"/>
  </si>
  <si>
    <t>枚</t>
    <rPh sb="0" eb="1">
      <t xml:space="preserve">マイ </t>
    </rPh>
    <phoneticPr fontId="1"/>
  </si>
  <si>
    <t>kw</t>
    <phoneticPr fontId="1"/>
  </si>
  <si>
    <t>太陽光売電収入/月D</t>
    <rPh sb="0" eb="5">
      <t xml:space="preserve">タイヨウコウバイデン </t>
    </rPh>
    <rPh sb="5" eb="7">
      <t xml:space="preserve">シュウニュウ </t>
    </rPh>
    <rPh sb="8" eb="9">
      <t xml:space="preserve">ツキ </t>
    </rPh>
    <phoneticPr fontId="1"/>
  </si>
  <si>
    <t>賞味ローン支払い　C-（D+E）</t>
    <rPh sb="0" eb="2">
      <t xml:space="preserve">ショウミ </t>
    </rPh>
    <rPh sb="5" eb="7">
      <t xml:space="preserve">シハライ </t>
    </rPh>
    <phoneticPr fontId="1"/>
  </si>
  <si>
    <t>オール電化メリットE</t>
    <phoneticPr fontId="1"/>
  </si>
  <si>
    <t>年間発電料を12ヶ月で割り返した金額</t>
    <phoneticPr fontId="1"/>
  </si>
  <si>
    <t>1人家族ガス併用と比べた場合</t>
    <rPh sb="2" eb="4">
      <t xml:space="preserve">カゾク </t>
    </rPh>
    <rPh sb="6" eb="8">
      <t xml:space="preserve">ヘイヨウト </t>
    </rPh>
    <rPh sb="9" eb="10">
      <t xml:space="preserve">クラベタ </t>
    </rPh>
    <rPh sb="12" eb="14">
      <t xml:space="preserve">バアイ </t>
    </rPh>
    <phoneticPr fontId="1"/>
  </si>
  <si>
    <t>円/月</t>
    <rPh sb="0" eb="1">
      <t xml:space="preserve">エン </t>
    </rPh>
    <rPh sb="2" eb="3">
      <t xml:space="preserve">ツキ </t>
    </rPh>
    <phoneticPr fontId="1"/>
  </si>
  <si>
    <t>基礎仕様</t>
    <rPh sb="0" eb="2">
      <t xml:space="preserve">キソ </t>
    </rPh>
    <rPh sb="2" eb="4">
      <t xml:space="preserve">シヨウ </t>
    </rPh>
    <phoneticPr fontId="1"/>
  </si>
  <si>
    <t>① 請負金額</t>
    <phoneticPr fontId="1"/>
  </si>
  <si>
    <t>その他</t>
    <phoneticPr fontId="1"/>
  </si>
  <si>
    <t>付帯工事</t>
    <rPh sb="0" eb="4">
      <t>フタイ</t>
    </rPh>
    <phoneticPr fontId="1"/>
  </si>
  <si>
    <t>諸経費</t>
    <rPh sb="0" eb="3">
      <t>ショケイヒ</t>
    </rPh>
    <phoneticPr fontId="1"/>
  </si>
  <si>
    <t>エアコン工事</t>
    <rPh sb="4" eb="6">
      <t>コウジ</t>
    </rPh>
    <phoneticPr fontId="1"/>
  </si>
  <si>
    <t>防水工事</t>
    <rPh sb="0" eb="2">
      <t>ボウスイ</t>
    </rPh>
    <rPh sb="2" eb="4">
      <t>コウジ</t>
    </rPh>
    <phoneticPr fontId="1"/>
  </si>
  <si>
    <t>仮設工事</t>
    <phoneticPr fontId="1"/>
  </si>
  <si>
    <t xml:space="preserve">基礎工事	</t>
    <phoneticPr fontId="1"/>
  </si>
  <si>
    <t xml:space="preserve">躯体工事	</t>
    <phoneticPr fontId="1"/>
  </si>
  <si>
    <t>屋根・板金工事</t>
    <phoneticPr fontId="1"/>
  </si>
  <si>
    <t xml:space="preserve">外壁工事	</t>
    <phoneticPr fontId="1"/>
  </si>
  <si>
    <t xml:space="preserve">建具工事	</t>
    <phoneticPr fontId="1"/>
  </si>
  <si>
    <t xml:space="preserve">内装工事	</t>
    <phoneticPr fontId="1"/>
  </si>
  <si>
    <t xml:space="preserve">電気設備工事	</t>
    <phoneticPr fontId="1"/>
  </si>
  <si>
    <t xml:space="preserve">給排水衛生設備	</t>
    <phoneticPr fontId="1"/>
  </si>
  <si>
    <t>空調換気設備</t>
    <phoneticPr fontId="1"/>
  </si>
  <si>
    <t>蓄電池</t>
    <rPh sb="0" eb="3">
      <t>チクデンティ</t>
    </rPh>
    <phoneticPr fontId="1"/>
  </si>
  <si>
    <t>EV充電器</t>
    <rPh sb="2" eb="5">
      <t>ジュウデn</t>
    </rPh>
    <phoneticPr fontId="1"/>
  </si>
  <si>
    <t>外構工事</t>
    <rPh sb="0" eb="4">
      <t>ガイコウ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</si>
</sst>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yyyy&quot;年&quot;m&quot;月&quot;d&quot;日&quot;;@"/>
    <numFmt numFmtId="178" formatCode="0.00_ "/>
    <numFmt numFmtId="179" formatCode="#,##0&quot;円&quot;"/>
  </numFmts>
  <fonts count="2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theme="1"/>
      <name val="ＭＳ ゴシック"/>
      <family val="2"/>
      <charset val="128"/>
    </font>
    <font>
      <sz val="9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8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8"/>
      <color theme="1"/>
      <name val="ＭＳ ゴシック"/>
      <family val="2"/>
      <charset val="128"/>
    </font>
    <font>
      <sz val="22"/>
      <color theme="1"/>
      <name val="ＭＳ ゴシック"/>
      <family val="2"/>
      <charset val="128"/>
    </font>
    <font>
      <sz val="12"/>
      <color theme="1"/>
      <name val="ＭＳ ゴシック"/>
      <family val="2"/>
      <charset val="128"/>
    </font>
    <font>
      <sz val="8"/>
      <color theme="1"/>
      <name val="游ゴシック"/>
      <family val="2"/>
      <charset val="128"/>
      <scheme val="minor"/>
    </font>
    <font>
      <sz val="9"/>
      <color rgb="FF000000"/>
      <name val="ＭＳ ゴシック"/>
      <family val="2"/>
      <charset val="128"/>
    </font>
    <font>
      <sz val="12"/>
      <color rgb="FF000000"/>
      <name val="游ゴシック"/>
      <family val="3"/>
      <charset val="128"/>
      <scheme val="minor"/>
    </font>
    <font>
      <sz val="7.5"/>
      <color theme="1"/>
      <name val="ＭＳ ゴシック"/>
      <family val="2"/>
      <charset val="128"/>
    </font>
    <font>
      <b/>
      <sz val="9"/>
      <color theme="0"/>
      <name val="游ゴシック"/>
      <family val="3"/>
      <charset val="128"/>
      <scheme val="minor"/>
    </font>
    <font>
      <sz val="7.5"/>
      <color theme="0"/>
      <name val="ＭＳ ゴシック"/>
      <family val="2"/>
      <charset val="128"/>
    </font>
    <font>
      <b/>
      <sz val="11"/>
      <color theme="1"/>
      <name val="ＭＳ ゴシック"/>
      <family val="2"/>
      <charset val="128"/>
    </font>
    <font>
      <sz val="7"/>
      <color theme="1"/>
      <name val="ＭＳ ゴシック"/>
      <family val="2"/>
      <charset val="128"/>
    </font>
    <font>
      <strike/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8"/>
      <color rgb="FFFF0000"/>
      <name val="ＭＳ ゴシック"/>
      <family val="2"/>
      <charset val="128"/>
    </font>
    <font>
      <sz val="6"/>
      <color theme="1"/>
      <name val="ＭＳ ゴシック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20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0" fillId="2" borderId="0" xfId="0" applyFill="1">
      <alignment vertical="center"/>
    </xf>
    <xf numFmtId="0" fontId="0" fillId="2" borderId="8" xfId="0" applyFill="1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10" fillId="0" borderId="0" xfId="0" applyFont="1">
      <alignment vertical="center"/>
    </xf>
    <xf numFmtId="0" fontId="8" fillId="0" borderId="3" xfId="0" applyFont="1" applyBorder="1">
      <alignment vertical="center"/>
    </xf>
    <xf numFmtId="0" fontId="10" fillId="0" borderId="4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5" xfId="0" applyFont="1" applyBorder="1">
      <alignment vertical="center"/>
    </xf>
    <xf numFmtId="0" fontId="10" fillId="0" borderId="11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1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" xfId="0" applyFont="1" applyBorder="1">
      <alignment vertical="center"/>
    </xf>
    <xf numFmtId="0" fontId="13" fillId="0" borderId="0" xfId="0" applyFont="1">
      <alignment vertical="center"/>
    </xf>
    <xf numFmtId="0" fontId="8" fillId="0" borderId="0" xfId="0" applyFont="1">
      <alignment vertical="center"/>
    </xf>
    <xf numFmtId="0" fontId="8" fillId="3" borderId="0" xfId="0" applyFont="1" applyFill="1">
      <alignment vertical="center"/>
    </xf>
    <xf numFmtId="0" fontId="0" fillId="3" borderId="0" xfId="0" applyFill="1">
      <alignment vertical="center"/>
    </xf>
    <xf numFmtId="0" fontId="14" fillId="0" borderId="9" xfId="0" applyFont="1" applyBorder="1" applyAlignment="1">
      <alignment horizontal="center" vertical="center"/>
    </xf>
    <xf numFmtId="0" fontId="12" fillId="0" borderId="4" xfId="0" applyFont="1" applyBorder="1">
      <alignment vertical="center"/>
    </xf>
    <xf numFmtId="0" fontId="12" fillId="0" borderId="1" xfId="0" applyFont="1" applyBorder="1">
      <alignment vertical="center"/>
    </xf>
    <xf numFmtId="0" fontId="14" fillId="0" borderId="14" xfId="0" applyFont="1" applyBorder="1">
      <alignment vertical="center"/>
    </xf>
    <xf numFmtId="0" fontId="16" fillId="5" borderId="9" xfId="0" applyFont="1" applyFill="1" applyBorder="1">
      <alignment vertical="center"/>
    </xf>
    <xf numFmtId="0" fontId="14" fillId="0" borderId="0" xfId="0" applyFont="1" applyAlignment="1">
      <alignment horizontal="center" vertical="center"/>
    </xf>
    <xf numFmtId="0" fontId="10" fillId="0" borderId="8" xfId="0" applyFont="1" applyBorder="1">
      <alignment vertical="center"/>
    </xf>
    <xf numFmtId="0" fontId="0" fillId="0" borderId="7" xfId="0" applyBorder="1">
      <alignment vertical="center"/>
    </xf>
    <xf numFmtId="0" fontId="1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8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19" fillId="0" borderId="0" xfId="0" applyFont="1">
      <alignment vertical="center"/>
    </xf>
    <xf numFmtId="0" fontId="18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38" fontId="0" fillId="0" borderId="0" xfId="1" applyFont="1">
      <alignment vertical="center"/>
    </xf>
    <xf numFmtId="38" fontId="0" fillId="0" borderId="8" xfId="1" applyFont="1" applyBorder="1">
      <alignment vertical="center"/>
    </xf>
    <xf numFmtId="0" fontId="8" fillId="2" borderId="0" xfId="0" applyFont="1" applyFill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23" xfId="0" applyBorder="1">
      <alignment vertical="center"/>
    </xf>
    <xf numFmtId="38" fontId="8" fillId="0" borderId="0" xfId="1" applyFont="1" applyAlignment="1">
      <alignment vertical="center"/>
    </xf>
    <xf numFmtId="38" fontId="8" fillId="2" borderId="0" xfId="1" applyFont="1" applyFill="1" applyAlignment="1">
      <alignment vertical="center"/>
    </xf>
    <xf numFmtId="0" fontId="12" fillId="0" borderId="0" xfId="0" applyFont="1">
      <alignment vertical="center"/>
    </xf>
    <xf numFmtId="0" fontId="13" fillId="0" borderId="4" xfId="0" applyFont="1" applyBorder="1">
      <alignment vertical="center"/>
    </xf>
    <xf numFmtId="31" fontId="8" fillId="0" borderId="0" xfId="0" applyNumberFormat="1" applyFont="1">
      <alignment vertical="center"/>
    </xf>
    <xf numFmtId="0" fontId="14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9" fontId="10" fillId="0" borderId="0" xfId="0" applyNumberFormat="1" applyFont="1" applyAlignment="1">
      <alignment horizontal="right" vertical="center"/>
    </xf>
    <xf numFmtId="179" fontId="10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38" fontId="8" fillId="0" borderId="14" xfId="1" applyFont="1" applyBorder="1" applyAlignment="1">
      <alignment horizontal="center" vertical="center"/>
    </xf>
    <xf numFmtId="38" fontId="8" fillId="0" borderId="9" xfId="1" applyFont="1" applyBorder="1" applyAlignment="1">
      <alignment horizontal="center" vertical="center"/>
    </xf>
    <xf numFmtId="38" fontId="8" fillId="0" borderId="19" xfId="1" applyFont="1" applyBorder="1" applyAlignment="1">
      <alignment horizontal="center" vertical="center"/>
    </xf>
    <xf numFmtId="38" fontId="8" fillId="0" borderId="10" xfId="1" applyFont="1" applyBorder="1" applyAlignment="1">
      <alignment horizontal="center" vertical="center"/>
    </xf>
    <xf numFmtId="0" fontId="22" fillId="0" borderId="0" xfId="0" applyFont="1" applyAlignment="1">
      <alignment horizontal="left" vertical="center" indent="1"/>
    </xf>
    <xf numFmtId="0" fontId="22" fillId="0" borderId="0" xfId="0" applyFont="1">
      <alignment vertical="center"/>
    </xf>
    <xf numFmtId="0" fontId="21" fillId="0" borderId="0" xfId="0" applyFont="1">
      <alignment vertical="center"/>
    </xf>
    <xf numFmtId="0" fontId="7" fillId="2" borderId="0" xfId="0" applyFont="1" applyFill="1" applyAlignment="1">
      <alignment horizontal="left" vertical="center"/>
    </xf>
    <xf numFmtId="3" fontId="9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6" fillId="0" borderId="0" xfId="0" applyFont="1" applyAlignment="1">
      <alignment horizont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38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38" fontId="5" fillId="3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38" fontId="5" fillId="2" borderId="0" xfId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indent="1"/>
    </xf>
    <xf numFmtId="38" fontId="5" fillId="0" borderId="0" xfId="1" applyFont="1" applyAlignment="1">
      <alignment horizontal="right" vertical="center"/>
    </xf>
    <xf numFmtId="38" fontId="5" fillId="0" borderId="8" xfId="1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38" fontId="14" fillId="0" borderId="13" xfId="1" applyFont="1" applyBorder="1" applyAlignment="1">
      <alignment horizontal="center" vertical="center"/>
    </xf>
    <xf numFmtId="38" fontId="14" fillId="0" borderId="2" xfId="1" applyFont="1" applyBorder="1" applyAlignment="1">
      <alignment horizontal="center" vertical="center"/>
    </xf>
    <xf numFmtId="38" fontId="14" fillId="0" borderId="14" xfId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38" fontId="10" fillId="0" borderId="4" xfId="1" applyFont="1" applyBorder="1" applyAlignment="1">
      <alignment horizontal="center" vertical="center"/>
    </xf>
    <xf numFmtId="38" fontId="10" fillId="0" borderId="0" xfId="1" applyFont="1" applyAlignment="1">
      <alignment horizontal="center" vertical="center"/>
    </xf>
    <xf numFmtId="38" fontId="10" fillId="0" borderId="1" xfId="1" applyFont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38" fontId="14" fillId="0" borderId="13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8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8" fontId="10" fillId="0" borderId="0" xfId="0" applyNumberFormat="1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38" fontId="14" fillId="0" borderId="13" xfId="1" applyFont="1" applyBorder="1" applyAlignment="1">
      <alignment horizontal="right" vertical="center"/>
    </xf>
    <xf numFmtId="38" fontId="14" fillId="0" borderId="2" xfId="1" applyFont="1" applyBorder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179" fontId="8" fillId="2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left" vertical="center" indent="1"/>
    </xf>
    <xf numFmtId="0" fontId="8" fillId="6" borderId="0" xfId="0" applyFont="1" applyFill="1" applyAlignment="1">
      <alignment horizontal="left" vertical="center" indent="1"/>
    </xf>
    <xf numFmtId="179" fontId="8" fillId="6" borderId="0" xfId="0" applyNumberFormat="1" applyFont="1" applyFill="1" applyAlignment="1">
      <alignment horizontal="right" vertical="center"/>
    </xf>
    <xf numFmtId="0" fontId="10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179" fontId="8" fillId="3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179" fontId="8" fillId="0" borderId="0" xfId="0" applyNumberFormat="1" applyFont="1" applyAlignment="1">
      <alignment horizontal="right" vertical="center"/>
    </xf>
    <xf numFmtId="0" fontId="8" fillId="2" borderId="4" xfId="0" applyFont="1" applyFill="1" applyBorder="1" applyAlignment="1">
      <alignment horizontal="left" vertical="center" indent="1"/>
    </xf>
    <xf numFmtId="179" fontId="8" fillId="2" borderId="4" xfId="0" applyNumberFormat="1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left" vertical="center" indent="1"/>
    </xf>
    <xf numFmtId="179" fontId="10" fillId="2" borderId="0" xfId="0" applyNumberFormat="1" applyFont="1" applyFill="1" applyAlignment="1">
      <alignment horizontal="right" vertical="center"/>
    </xf>
    <xf numFmtId="0" fontId="8" fillId="3" borderId="0" xfId="0" applyFont="1" applyFill="1" applyAlignment="1">
      <alignment horizontal="left" vertical="center" inden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79" fontId="10" fillId="0" borderId="4" xfId="0" applyNumberFormat="1" applyFont="1" applyBorder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8" fontId="8" fillId="2" borderId="0" xfId="1" applyFont="1" applyFill="1" applyAlignment="1">
      <alignment vertical="center"/>
    </xf>
    <xf numFmtId="38" fontId="8" fillId="0" borderId="0" xfId="1" applyFont="1" applyAlignment="1">
      <alignment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9" fontId="8" fillId="0" borderId="19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8" fontId="8" fillId="0" borderId="13" xfId="1" applyFont="1" applyBorder="1" applyAlignment="1">
      <alignment horizontal="center" vertical="center"/>
    </xf>
    <xf numFmtId="38" fontId="8" fillId="0" borderId="2" xfId="1" applyFont="1" applyBorder="1" applyAlignment="1">
      <alignment horizontal="center" vertical="center"/>
    </xf>
    <xf numFmtId="0" fontId="22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38" fontId="8" fillId="0" borderId="3" xfId="1" applyFont="1" applyBorder="1" applyAlignment="1">
      <alignment horizontal="center" vertical="center"/>
    </xf>
    <xf numFmtId="38" fontId="8" fillId="0" borderId="4" xfId="1" applyFont="1" applyBorder="1" applyAlignment="1">
      <alignment horizontal="center" vertical="center"/>
    </xf>
    <xf numFmtId="38" fontId="8" fillId="0" borderId="14" xfId="1" applyFont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6" borderId="20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8" fillId="0" borderId="0" xfId="0" applyFont="1">
      <alignment vertical="center"/>
    </xf>
    <xf numFmtId="38" fontId="8" fillId="2" borderId="0" xfId="1" applyFont="1" applyFill="1">
      <alignment vertical="center"/>
    </xf>
    <xf numFmtId="0" fontId="0" fillId="0" borderId="2" xfId="0" applyBorder="1" applyAlignment="1">
      <alignment horizontal="center" vertical="center"/>
    </xf>
    <xf numFmtId="38" fontId="8" fillId="0" borderId="0" xfId="0" applyNumberFormat="1" applyFont="1">
      <alignment vertical="center"/>
    </xf>
    <xf numFmtId="38" fontId="8" fillId="0" borderId="25" xfId="1" applyFont="1" applyBorder="1" applyAlignment="1">
      <alignment horizontal="center" vertical="center"/>
    </xf>
    <xf numFmtId="38" fontId="8" fillId="0" borderId="26" xfId="1" applyFont="1" applyBorder="1" applyAlignment="1">
      <alignment horizontal="center" vertical="center"/>
    </xf>
    <xf numFmtId="38" fontId="8" fillId="0" borderId="27" xfId="1" applyFont="1" applyBorder="1" applyAlignment="1">
      <alignment horizontal="center" vertical="center"/>
    </xf>
    <xf numFmtId="38" fontId="22" fillId="0" borderId="0" xfId="1" applyFont="1" applyAlignment="1">
      <alignment vertical="center"/>
    </xf>
    <xf numFmtId="0" fontId="14" fillId="2" borderId="0" xfId="0" applyFont="1" applyFill="1" applyBorder="1" applyAlignment="1">
      <alignment horizontal="center" vertical="center"/>
    </xf>
    <xf numFmtId="38" fontId="14" fillId="0" borderId="0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horizontal="right" vertical="center"/>
    </xf>
    <xf numFmtId="0" fontId="14" fillId="0" borderId="0" xfId="0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36C7-8240-A44A-AE87-54605B9F2E58}">
  <dimension ref="B1:AX112"/>
  <sheetViews>
    <sheetView tabSelected="1" view="pageBreakPreview" zoomScale="75" zoomScaleNormal="246" zoomScaleSheetLayoutView="100" workbookViewId="0"/>
  </sheetViews>
  <sheetFormatPr baseColWidth="10" defaultColWidth="11.5703125" defaultRowHeight="20"/>
  <cols>
    <col min="1" max="6" width="2.7109375" customWidth="1"/>
    <col min="7" max="7" width="0.5703125" customWidth="1"/>
    <col min="8" max="14" width="2.7109375" customWidth="1"/>
    <col min="15" max="15" width="0.5703125" customWidth="1"/>
    <col min="16" max="59" width="2.7109375" customWidth="1"/>
  </cols>
  <sheetData>
    <row r="1" spans="2:25" ht="7" customHeight="1"/>
    <row r="2" spans="2:25" ht="16" customHeight="1"/>
    <row r="3" spans="2:25" ht="10" customHeight="1"/>
    <row r="4" spans="2:25" ht="16" customHeight="1">
      <c r="T4" s="1" t="s">
        <v>115</v>
      </c>
      <c r="V4" s="71" t="s">
        <v>12</v>
      </c>
      <c r="W4" s="71"/>
      <c r="X4" s="71"/>
      <c r="Y4" s="71"/>
    </row>
    <row r="5" spans="2:25" ht="16" customHeight="1">
      <c r="B5" s="70" t="s">
        <v>2</v>
      </c>
      <c r="C5" s="70"/>
      <c r="D5" s="70"/>
      <c r="E5" s="70"/>
      <c r="F5" s="70"/>
      <c r="G5" s="70"/>
      <c r="H5" s="70"/>
      <c r="T5" s="1" t="s">
        <v>0</v>
      </c>
      <c r="V5" s="72">
        <f ca="1">TODAY()</f>
        <v>46074</v>
      </c>
      <c r="W5" s="72"/>
      <c r="X5" s="72"/>
      <c r="Y5" s="72"/>
    </row>
    <row r="6" spans="2:25" ht="16" customHeight="1">
      <c r="B6" s="70"/>
      <c r="C6" s="70"/>
      <c r="D6" s="70"/>
      <c r="E6" s="70"/>
      <c r="F6" s="70"/>
      <c r="G6" s="70"/>
      <c r="H6" s="70"/>
      <c r="I6" s="2" t="s">
        <v>11</v>
      </c>
      <c r="T6" s="1" t="s">
        <v>1</v>
      </c>
      <c r="V6" s="72">
        <f ca="1">TODAY()+30</f>
        <v>46104</v>
      </c>
      <c r="W6" s="72"/>
      <c r="X6" s="72"/>
      <c r="Y6" s="72"/>
    </row>
    <row r="7" spans="2:25" ht="16" customHeight="1"/>
    <row r="8" spans="2:25" ht="16" customHeight="1" thickBot="1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2:25" ht="10" customHeight="1" thickTop="1"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2:25" ht="16" customHeight="1">
      <c r="D10" s="3"/>
      <c r="E10" s="3"/>
      <c r="F10" s="3"/>
      <c r="G10" s="3"/>
      <c r="H10" s="3"/>
      <c r="I10" s="3"/>
      <c r="J10" s="3"/>
      <c r="K10" s="68">
        <f>N33</f>
        <v>0</v>
      </c>
      <c r="L10" s="69"/>
      <c r="M10" s="69"/>
      <c r="N10" s="69"/>
      <c r="O10" s="69"/>
      <c r="P10" s="69"/>
      <c r="Q10" s="69"/>
      <c r="R10" s="69"/>
      <c r="S10" s="3"/>
      <c r="T10" s="3"/>
      <c r="U10" s="3"/>
      <c r="V10" s="3"/>
      <c r="W10" s="3"/>
    </row>
    <row r="11" spans="2:25" ht="16" customHeight="1">
      <c r="D11" s="3"/>
      <c r="E11" s="73" t="s">
        <v>9</v>
      </c>
      <c r="F11" s="73"/>
      <c r="G11" s="73"/>
      <c r="H11" s="73"/>
      <c r="I11" s="73"/>
      <c r="J11" s="73"/>
      <c r="K11" s="69"/>
      <c r="L11" s="69"/>
      <c r="M11" s="69"/>
      <c r="N11" s="69"/>
      <c r="O11" s="69"/>
      <c r="P11" s="69"/>
      <c r="Q11" s="69"/>
      <c r="R11" s="69"/>
      <c r="S11" s="3"/>
      <c r="T11" s="67" t="s">
        <v>13</v>
      </c>
      <c r="U11" s="67"/>
      <c r="V11" s="67"/>
      <c r="W11" s="3"/>
    </row>
    <row r="12" spans="2:25" ht="16" customHeight="1">
      <c r="D12" s="3"/>
      <c r="E12" s="3"/>
      <c r="F12" s="3"/>
      <c r="G12" s="3"/>
      <c r="H12" s="3"/>
      <c r="I12" s="3"/>
      <c r="J12" s="3"/>
      <c r="K12" s="69"/>
      <c r="L12" s="69"/>
      <c r="M12" s="69"/>
      <c r="N12" s="69"/>
      <c r="O12" s="69"/>
      <c r="P12" s="69"/>
      <c r="Q12" s="69"/>
      <c r="R12" s="69"/>
      <c r="S12" s="3"/>
      <c r="T12" s="3"/>
      <c r="U12" s="3"/>
      <c r="V12" s="3"/>
      <c r="W12" s="3"/>
    </row>
    <row r="13" spans="2:25" ht="10" customHeight="1" thickBot="1"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2:25" ht="16" customHeight="1" thickTop="1"/>
    <row r="15" spans="2:25" ht="16" customHeight="1"/>
    <row r="16" spans="2:25" ht="12" customHeight="1"/>
    <row r="17" spans="8:19" ht="8" customHeight="1">
      <c r="H17" s="75" t="s">
        <v>20</v>
      </c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</row>
    <row r="18" spans="8:19" ht="8" customHeight="1"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</row>
    <row r="19" spans="8:19" ht="5" customHeight="1"/>
    <row r="20" spans="8:19" ht="12" customHeight="1">
      <c r="H20" s="77" t="s">
        <v>14</v>
      </c>
      <c r="I20" s="77"/>
      <c r="J20" s="77"/>
      <c r="K20" s="77"/>
      <c r="L20" s="77"/>
      <c r="M20" s="77"/>
      <c r="N20" s="78" t="str">
        <f>N67</f>
        <v/>
      </c>
      <c r="O20" s="79"/>
      <c r="P20" s="79"/>
      <c r="Q20" s="79"/>
      <c r="R20" s="79"/>
      <c r="S20" s="80" t="s">
        <v>10</v>
      </c>
    </row>
    <row r="21" spans="8:19" ht="12" customHeight="1">
      <c r="H21" s="77"/>
      <c r="I21" s="77"/>
      <c r="J21" s="77"/>
      <c r="K21" s="77"/>
      <c r="L21" s="77"/>
      <c r="M21" s="77"/>
      <c r="N21" s="79"/>
      <c r="O21" s="79"/>
      <c r="P21" s="79"/>
      <c r="Q21" s="79"/>
      <c r="R21" s="79"/>
      <c r="S21" s="80"/>
    </row>
    <row r="22" spans="8:19" ht="12" customHeight="1">
      <c r="H22" s="81" t="s">
        <v>16</v>
      </c>
      <c r="I22" s="81"/>
      <c r="J22" s="81"/>
      <c r="K22" s="81"/>
      <c r="L22" s="81"/>
      <c r="M22" s="81"/>
      <c r="N22" s="82">
        <f>N82</f>
        <v>0</v>
      </c>
      <c r="O22" s="83"/>
      <c r="P22" s="83"/>
      <c r="Q22" s="83"/>
      <c r="R22" s="83"/>
      <c r="S22" s="84" t="s">
        <v>10</v>
      </c>
    </row>
    <row r="23" spans="8:19" ht="12" customHeight="1">
      <c r="H23" s="81"/>
      <c r="I23" s="81"/>
      <c r="J23" s="81"/>
      <c r="K23" s="81"/>
      <c r="L23" s="81"/>
      <c r="M23" s="81"/>
      <c r="N23" s="83"/>
      <c r="O23" s="83"/>
      <c r="P23" s="83"/>
      <c r="Q23" s="83"/>
      <c r="R23" s="83"/>
      <c r="S23" s="84"/>
    </row>
    <row r="24" spans="8:19" ht="12" customHeight="1">
      <c r="H24" s="77" t="s">
        <v>17</v>
      </c>
      <c r="I24" s="77"/>
      <c r="J24" s="77"/>
      <c r="K24" s="77"/>
      <c r="L24" s="77"/>
      <c r="M24" s="77"/>
      <c r="N24" s="78">
        <f>N96</f>
        <v>0</v>
      </c>
      <c r="O24" s="79"/>
      <c r="P24" s="79"/>
      <c r="Q24" s="79"/>
      <c r="R24" s="79"/>
      <c r="S24" s="80" t="s">
        <v>10</v>
      </c>
    </row>
    <row r="25" spans="8:19" ht="12" customHeight="1">
      <c r="H25" s="77"/>
      <c r="I25" s="77"/>
      <c r="J25" s="77"/>
      <c r="K25" s="77"/>
      <c r="L25" s="77"/>
      <c r="M25" s="77"/>
      <c r="N25" s="79"/>
      <c r="O25" s="79"/>
      <c r="P25" s="79"/>
      <c r="Q25" s="79"/>
      <c r="R25" s="79"/>
      <c r="S25" s="80"/>
    </row>
    <row r="26" spans="8:19" ht="5" customHeight="1">
      <c r="H26" s="6"/>
      <c r="I26" s="6"/>
      <c r="J26" s="6"/>
      <c r="K26" s="6"/>
      <c r="L26" s="6"/>
      <c r="M26" s="6"/>
    </row>
    <row r="27" spans="8:19" ht="12" customHeight="1">
      <c r="H27" s="85" t="s">
        <v>18</v>
      </c>
      <c r="I27" s="85"/>
      <c r="J27" s="85"/>
      <c r="K27" s="85"/>
      <c r="L27" s="85"/>
      <c r="M27" s="85"/>
      <c r="N27" s="86">
        <f>SUM(N20:R25)</f>
        <v>0</v>
      </c>
      <c r="O27" s="86"/>
      <c r="P27" s="86"/>
      <c r="Q27" s="86"/>
      <c r="R27" s="86"/>
      <c r="S27" s="87" t="s">
        <v>10</v>
      </c>
    </row>
    <row r="28" spans="8:19" ht="12" customHeight="1"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7"/>
    </row>
    <row r="29" spans="8:19" ht="4" customHeight="1">
      <c r="H29" s="6"/>
      <c r="I29" s="6"/>
      <c r="J29" s="6"/>
      <c r="K29" s="6"/>
      <c r="L29" s="6"/>
      <c r="M29" s="6"/>
      <c r="N29" s="42"/>
      <c r="O29" s="42"/>
      <c r="P29" s="42"/>
      <c r="Q29" s="42"/>
      <c r="R29" s="42"/>
    </row>
    <row r="30" spans="8:19" ht="12" customHeight="1">
      <c r="H30" s="85" t="s">
        <v>19</v>
      </c>
      <c r="I30" s="85"/>
      <c r="J30" s="85"/>
      <c r="K30" s="85"/>
      <c r="L30" s="85"/>
      <c r="M30" s="85"/>
      <c r="N30" s="86">
        <f>N27*0.1</f>
        <v>0</v>
      </c>
      <c r="O30" s="86"/>
      <c r="P30" s="86"/>
      <c r="Q30" s="86"/>
      <c r="R30" s="86"/>
      <c r="S30" s="87" t="s">
        <v>10</v>
      </c>
    </row>
    <row r="31" spans="8:19" ht="12" customHeight="1"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7"/>
    </row>
    <row r="32" spans="8:19" ht="4" customHeight="1" thickBot="1">
      <c r="H32" s="7"/>
      <c r="I32" s="7"/>
      <c r="J32" s="7"/>
      <c r="K32" s="7"/>
      <c r="L32" s="7"/>
      <c r="M32" s="7"/>
      <c r="N32" s="43"/>
      <c r="O32" s="43"/>
      <c r="P32" s="43"/>
      <c r="Q32" s="43"/>
      <c r="R32" s="43"/>
      <c r="S32" s="5"/>
    </row>
    <row r="33" spans="4:50" ht="15" customHeight="1" thickTop="1">
      <c r="H33" s="77" t="s">
        <v>15</v>
      </c>
      <c r="I33" s="77"/>
      <c r="J33" s="77"/>
      <c r="K33" s="77"/>
      <c r="L33" s="77"/>
      <c r="M33" s="77"/>
      <c r="N33" s="92">
        <f>N27+N30</f>
        <v>0</v>
      </c>
      <c r="O33" s="92"/>
      <c r="P33" s="92"/>
      <c r="Q33" s="92"/>
      <c r="R33" s="92"/>
      <c r="S33" s="80" t="s">
        <v>10</v>
      </c>
    </row>
    <row r="34" spans="4:50" ht="15" customHeight="1" thickBot="1">
      <c r="H34" s="91"/>
      <c r="I34" s="91"/>
      <c r="J34" s="91"/>
      <c r="K34" s="91"/>
      <c r="L34" s="91"/>
      <c r="M34" s="91"/>
      <c r="N34" s="93"/>
      <c r="O34" s="93"/>
      <c r="P34" s="93"/>
      <c r="Q34" s="93"/>
      <c r="R34" s="93"/>
      <c r="S34" s="94"/>
    </row>
    <row r="35" spans="4:50" ht="12" customHeight="1" thickTop="1"/>
    <row r="36" spans="4:50" ht="12" customHeight="1"/>
    <row r="37" spans="4:50" ht="12" customHeight="1"/>
    <row r="38" spans="4:50" ht="12" customHeight="1">
      <c r="D38" s="97" t="s">
        <v>26</v>
      </c>
      <c r="E38" s="97"/>
      <c r="F38" s="97"/>
      <c r="H38" s="95" t="s">
        <v>23</v>
      </c>
      <c r="I38" s="95"/>
      <c r="J38" s="127"/>
      <c r="K38" s="127"/>
      <c r="L38" s="127"/>
      <c r="M38" s="127"/>
      <c r="N38" s="127"/>
      <c r="O38" s="17"/>
      <c r="P38" s="95" t="s">
        <v>33</v>
      </c>
      <c r="Q38" s="95"/>
      <c r="R38" s="127" t="s">
        <v>25</v>
      </c>
      <c r="S38" s="127"/>
      <c r="T38" s="127"/>
      <c r="U38" s="127"/>
      <c r="V38" s="127"/>
      <c r="W38" s="24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0"/>
      <c r="AW38" s="20"/>
      <c r="AX38" s="20"/>
    </row>
    <row r="39" spans="4:50" ht="11" customHeight="1">
      <c r="D39" s="97"/>
      <c r="E39" s="97"/>
      <c r="F39" s="97"/>
      <c r="H39" s="96"/>
      <c r="I39" s="96"/>
      <c r="J39" s="128"/>
      <c r="K39" s="128"/>
      <c r="L39" s="128"/>
      <c r="M39" s="128"/>
      <c r="N39" s="128"/>
      <c r="O39" s="18"/>
      <c r="P39" s="96"/>
      <c r="Q39" s="96"/>
      <c r="R39" s="128"/>
      <c r="S39" s="128"/>
      <c r="T39" s="128"/>
      <c r="U39" s="128"/>
      <c r="V39" s="128"/>
      <c r="W39" s="25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0"/>
      <c r="AW39" s="20"/>
      <c r="AX39" s="20"/>
    </row>
    <row r="40" spans="4:50" ht="4" customHeight="1">
      <c r="D40" s="97"/>
      <c r="E40" s="97"/>
      <c r="F40" s="97"/>
      <c r="O40" s="34"/>
      <c r="P40" s="51"/>
      <c r="Q40" s="19"/>
      <c r="R40" s="19"/>
      <c r="S40" s="19"/>
      <c r="T40" s="19"/>
      <c r="U40" s="19"/>
      <c r="V40" s="19"/>
      <c r="W40" s="5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0"/>
      <c r="AW40" s="20"/>
      <c r="AX40" s="20"/>
    </row>
    <row r="41" spans="4:50" ht="12" customHeight="1">
      <c r="D41" s="97"/>
      <c r="E41" s="97"/>
      <c r="F41" s="97"/>
      <c r="H41" s="95" t="s">
        <v>132</v>
      </c>
      <c r="I41" s="95"/>
      <c r="J41" s="127" t="s">
        <v>24</v>
      </c>
      <c r="K41" s="127"/>
      <c r="L41" s="127"/>
      <c r="M41" s="127"/>
      <c r="N41" s="127"/>
      <c r="O41" s="1"/>
      <c r="W41" s="50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0"/>
      <c r="AW41" s="20"/>
      <c r="AX41" s="20"/>
    </row>
    <row r="42" spans="4:50" ht="12" customHeight="1">
      <c r="D42" s="97"/>
      <c r="E42" s="97"/>
      <c r="F42" s="97"/>
      <c r="H42" s="96"/>
      <c r="I42" s="96"/>
      <c r="J42" s="128"/>
      <c r="K42" s="128"/>
      <c r="L42" s="128"/>
      <c r="M42" s="128"/>
      <c r="N42" s="128"/>
      <c r="O42" s="1"/>
      <c r="W42" s="50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0"/>
      <c r="AW42" s="20"/>
      <c r="AX42" s="20"/>
    </row>
    <row r="43" spans="4:50" ht="12" customHeight="1"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</row>
    <row r="44" spans="4:50" ht="12" customHeight="1"/>
    <row r="45" spans="4:50" ht="12" customHeight="1"/>
    <row r="46" spans="4:50" ht="16" customHeight="1">
      <c r="D46" s="90" t="s">
        <v>3</v>
      </c>
      <c r="E46" s="90"/>
      <c r="F46" s="90"/>
      <c r="G46" s="90"/>
      <c r="H46" s="90"/>
      <c r="I46" s="90"/>
      <c r="J46" s="90"/>
      <c r="K46" s="90"/>
      <c r="L46" s="8"/>
      <c r="M46" s="8"/>
      <c r="N46" s="9" t="s">
        <v>22</v>
      </c>
      <c r="O46" s="10"/>
      <c r="P46" s="10"/>
      <c r="Q46" s="10"/>
      <c r="R46" s="10"/>
      <c r="S46" s="10"/>
      <c r="T46" s="10"/>
      <c r="U46" s="10"/>
      <c r="V46" s="10"/>
      <c r="W46" s="11"/>
    </row>
    <row r="47" spans="4:50" ht="7" customHeight="1">
      <c r="D47" s="8"/>
      <c r="E47" s="1"/>
      <c r="F47" s="1"/>
      <c r="G47" s="1"/>
      <c r="H47" s="1"/>
      <c r="I47" s="1"/>
      <c r="J47" s="8"/>
      <c r="K47" s="8"/>
      <c r="L47" s="8"/>
      <c r="M47" s="8"/>
      <c r="N47" s="12"/>
      <c r="O47" s="8"/>
      <c r="P47" s="8"/>
      <c r="Q47" s="8"/>
      <c r="R47" s="8"/>
      <c r="S47" s="8"/>
      <c r="T47" s="8"/>
      <c r="U47" s="8"/>
      <c r="V47" s="8"/>
      <c r="W47" s="13"/>
    </row>
    <row r="48" spans="4:50" ht="16" customHeight="1">
      <c r="D48" s="40" t="s">
        <v>4</v>
      </c>
      <c r="E48" s="74" t="str">
        <f>IFERROR(VLOOKUP(N65,#REF!, 3, FALSE),"")</f>
        <v/>
      </c>
      <c r="F48" s="74"/>
      <c r="G48" s="74"/>
      <c r="H48" s="1" t="s">
        <v>6</v>
      </c>
      <c r="I48" s="74" t="str">
        <f>IFERROR(E48*0.3025,"")</f>
        <v/>
      </c>
      <c r="J48" s="74"/>
      <c r="K48" s="1" t="s">
        <v>7</v>
      </c>
      <c r="L48" s="8"/>
      <c r="M48" s="8"/>
      <c r="N48" s="12"/>
      <c r="O48" s="8"/>
      <c r="P48" s="8"/>
      <c r="Q48" s="8"/>
      <c r="R48" s="8"/>
      <c r="S48" s="8"/>
      <c r="T48" s="8"/>
      <c r="U48" s="8"/>
      <c r="V48" s="8"/>
      <c r="W48" s="13"/>
    </row>
    <row r="49" spans="2:39" ht="16" customHeight="1">
      <c r="D49" s="40" t="s">
        <v>5</v>
      </c>
      <c r="E49" s="74" t="str">
        <f>IFERROR(VLOOKUP(N65,#REF!, 4, FALSE),"")</f>
        <v/>
      </c>
      <c r="F49" s="74"/>
      <c r="G49" s="74"/>
      <c r="H49" s="1" t="s">
        <v>6</v>
      </c>
      <c r="I49" s="74" t="str">
        <f>IFERROR(E49*0.3025,"")</f>
        <v/>
      </c>
      <c r="J49" s="74"/>
      <c r="K49" s="1" t="s">
        <v>7</v>
      </c>
      <c r="L49" s="8"/>
      <c r="M49" s="8"/>
      <c r="N49" s="12"/>
      <c r="O49" s="8"/>
      <c r="P49" s="8"/>
      <c r="Q49" s="8"/>
      <c r="R49" s="8"/>
      <c r="S49" s="8"/>
      <c r="T49" s="8"/>
      <c r="U49" s="8"/>
      <c r="V49" s="8"/>
      <c r="W49" s="13"/>
    </row>
    <row r="50" spans="2:39" ht="16" customHeight="1">
      <c r="D50" s="40"/>
      <c r="E50" s="88"/>
      <c r="F50" s="88"/>
      <c r="G50" s="88"/>
      <c r="H50" s="1"/>
      <c r="I50" s="74"/>
      <c r="J50" s="74"/>
      <c r="K50" s="1"/>
      <c r="L50" s="8"/>
      <c r="M50" s="8"/>
      <c r="N50" s="12"/>
      <c r="O50" s="8"/>
      <c r="P50" s="8"/>
      <c r="Q50" s="8"/>
      <c r="R50" s="8"/>
      <c r="S50" s="8"/>
      <c r="T50" s="8"/>
      <c r="U50" s="8"/>
      <c r="V50" s="8"/>
      <c r="W50" s="13"/>
    </row>
    <row r="51" spans="2:39" ht="16" customHeight="1">
      <c r="D51" s="40" t="s">
        <v>8</v>
      </c>
      <c r="E51" s="89" t="str">
        <f>IFERROR(E48+E49,"")</f>
        <v/>
      </c>
      <c r="F51" s="89"/>
      <c r="G51" s="89"/>
      <c r="H51" s="1" t="s">
        <v>6</v>
      </c>
      <c r="I51" s="74" t="str">
        <f>IFERROR(E51*0.3025,"")</f>
        <v/>
      </c>
      <c r="J51" s="74"/>
      <c r="K51" s="1" t="s">
        <v>7</v>
      </c>
      <c r="L51" s="8"/>
      <c r="M51" s="8"/>
      <c r="N51" s="14"/>
      <c r="O51" s="15"/>
      <c r="P51" s="15"/>
      <c r="Q51" s="15"/>
      <c r="R51" s="15"/>
      <c r="S51" s="15"/>
      <c r="T51" s="15"/>
      <c r="U51" s="15"/>
      <c r="V51" s="15"/>
      <c r="W51" s="16"/>
    </row>
    <row r="52" spans="2:39" ht="16" customHeight="1"/>
    <row r="53" spans="2:39" ht="16" customHeight="1"/>
    <row r="54" spans="2:39" ht="16" customHeight="1"/>
    <row r="55" spans="2:39" ht="16" customHeight="1"/>
    <row r="56" spans="2:39" ht="16" customHeight="1"/>
    <row r="57" spans="2:39" ht="16" customHeight="1"/>
    <row r="58" spans="2:39" ht="8" customHeight="1">
      <c r="B58" s="95" t="s">
        <v>34</v>
      </c>
      <c r="C58" s="95"/>
      <c r="D58" s="95"/>
      <c r="E58" s="95"/>
      <c r="F58" s="95"/>
      <c r="G58" s="10"/>
      <c r="H58" s="127" t="str">
        <f>IF(N65="","",N65)</f>
        <v/>
      </c>
      <c r="I58" s="127"/>
      <c r="J58" s="127"/>
      <c r="K58" s="127"/>
      <c r="L58" s="127"/>
      <c r="M58" s="127"/>
      <c r="N58" s="127"/>
      <c r="O58" s="127"/>
      <c r="P58" s="127"/>
      <c r="Q58" s="127"/>
    </row>
    <row r="59" spans="2:39" ht="8" customHeight="1">
      <c r="B59" s="110"/>
      <c r="C59" s="110"/>
      <c r="D59" s="110"/>
      <c r="E59" s="110"/>
      <c r="F59" s="110"/>
      <c r="G59" s="8"/>
      <c r="H59" s="133"/>
      <c r="I59" s="133"/>
      <c r="J59" s="133"/>
      <c r="K59" s="133"/>
      <c r="L59" s="133"/>
      <c r="M59" s="133"/>
      <c r="N59" s="133"/>
      <c r="O59" s="133"/>
      <c r="P59" s="133"/>
      <c r="Q59" s="133"/>
    </row>
    <row r="60" spans="2:39" ht="8" customHeight="1">
      <c r="B60" s="96"/>
      <c r="C60" s="96"/>
      <c r="D60" s="96"/>
      <c r="E60" s="96"/>
      <c r="F60" s="96"/>
      <c r="G60" s="15"/>
      <c r="H60" s="128"/>
      <c r="I60" s="128"/>
      <c r="J60" s="128"/>
      <c r="K60" s="128"/>
      <c r="L60" s="128"/>
      <c r="M60" s="128"/>
      <c r="N60" s="128"/>
      <c r="O60" s="128"/>
      <c r="P60" s="128"/>
      <c r="Q60" s="128"/>
    </row>
    <row r="61" spans="2:39" ht="5" customHeight="1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2:39" ht="8" customHeight="1">
      <c r="AD62" s="126"/>
      <c r="AE62" s="126"/>
      <c r="AF62" s="126"/>
      <c r="AG62" s="126"/>
      <c r="AH62" s="126"/>
      <c r="AI62" s="126"/>
      <c r="AJ62" s="126"/>
      <c r="AK62" s="126"/>
      <c r="AL62" s="126"/>
      <c r="AM62" s="31"/>
    </row>
    <row r="63" spans="2:39" ht="13" customHeight="1"/>
    <row r="64" spans="2:39" ht="16" customHeight="1">
      <c r="B64" s="119" t="s">
        <v>27</v>
      </c>
      <c r="C64" s="120"/>
      <c r="D64" s="120"/>
      <c r="E64" s="120"/>
      <c r="F64" s="120"/>
      <c r="G64" s="120"/>
      <c r="H64" s="120"/>
      <c r="I64" s="121"/>
      <c r="J64" s="120" t="s">
        <v>28</v>
      </c>
      <c r="K64" s="120"/>
      <c r="L64" s="120"/>
      <c r="M64" s="27" t="s">
        <v>29</v>
      </c>
      <c r="N64" s="119" t="s">
        <v>21</v>
      </c>
      <c r="O64" s="120"/>
      <c r="P64" s="120"/>
      <c r="Q64" s="120"/>
      <c r="R64" s="120"/>
      <c r="S64" s="120"/>
      <c r="T64" s="120"/>
      <c r="U64" s="119" t="s">
        <v>30</v>
      </c>
      <c r="V64" s="120"/>
      <c r="W64" s="121"/>
      <c r="X64" s="119" t="s">
        <v>31</v>
      </c>
      <c r="Y64" s="120"/>
      <c r="Z64" s="121"/>
    </row>
    <row r="65" spans="2:26" ht="16" customHeight="1">
      <c r="B65" s="101" t="s">
        <v>32</v>
      </c>
      <c r="C65" s="102"/>
      <c r="D65" s="102"/>
      <c r="E65" s="102"/>
      <c r="F65" s="102"/>
      <c r="G65" s="102"/>
      <c r="H65" s="102"/>
      <c r="I65" s="103"/>
      <c r="J65" s="101" t="s">
        <v>116</v>
      </c>
      <c r="K65" s="102"/>
      <c r="L65" s="103"/>
      <c r="M65" s="23" t="s">
        <v>116</v>
      </c>
      <c r="N65" s="122"/>
      <c r="O65" s="123"/>
      <c r="P65" s="123"/>
      <c r="Q65" s="123"/>
      <c r="R65" s="123"/>
      <c r="S65" s="123"/>
      <c r="T65" s="124"/>
      <c r="U65" s="101" t="s">
        <v>116</v>
      </c>
      <c r="V65" s="102"/>
      <c r="W65" s="103"/>
      <c r="X65" s="98" t="str">
        <f>IF($N$65="","",VLOOKUP(N65,#REF!,2,FALSE))</f>
        <v/>
      </c>
      <c r="Y65" s="99"/>
      <c r="Z65" s="100"/>
    </row>
    <row r="66" spans="2:26" ht="3" customHeight="1"/>
    <row r="67" spans="2:26" ht="16" customHeight="1">
      <c r="B67" s="114" t="s">
        <v>14</v>
      </c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6"/>
      <c r="N67" s="139" t="str">
        <f>X65</f>
        <v/>
      </c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26" t="s">
        <v>10</v>
      </c>
    </row>
    <row r="68" spans="2:26" ht="3" customHeight="1"/>
    <row r="69" spans="2:26" ht="33" customHeight="1">
      <c r="B69" s="101" t="s">
        <v>139</v>
      </c>
      <c r="C69" s="102"/>
      <c r="D69" s="102"/>
      <c r="E69" s="102"/>
      <c r="F69" s="102"/>
      <c r="G69" s="102"/>
      <c r="H69" s="102"/>
      <c r="I69" s="103"/>
      <c r="J69" s="101"/>
      <c r="K69" s="102"/>
      <c r="L69" s="103"/>
      <c r="M69" s="23"/>
      <c r="N69" s="104"/>
      <c r="O69" s="105"/>
      <c r="P69" s="105"/>
      <c r="Q69" s="105"/>
      <c r="R69" s="105"/>
      <c r="S69" s="105"/>
      <c r="T69" s="106"/>
      <c r="U69" s="98"/>
      <c r="V69" s="99"/>
      <c r="W69" s="100"/>
      <c r="X69" s="98" t="str">
        <f>IF(U69*J69=0,"",U69*J69)</f>
        <v/>
      </c>
      <c r="Y69" s="99"/>
      <c r="Z69" s="100"/>
    </row>
    <row r="70" spans="2:26" ht="33" customHeight="1">
      <c r="B70" s="101" t="s">
        <v>140</v>
      </c>
      <c r="C70" s="102"/>
      <c r="D70" s="102"/>
      <c r="E70" s="102"/>
      <c r="F70" s="102"/>
      <c r="G70" s="102"/>
      <c r="H70" s="102"/>
      <c r="I70" s="103"/>
      <c r="J70" s="101"/>
      <c r="K70" s="102"/>
      <c r="L70" s="103"/>
      <c r="M70" s="23"/>
      <c r="N70" s="104"/>
      <c r="O70" s="105"/>
      <c r="P70" s="105"/>
      <c r="Q70" s="105"/>
      <c r="R70" s="105"/>
      <c r="S70" s="105"/>
      <c r="T70" s="106"/>
      <c r="U70" s="98"/>
      <c r="V70" s="99"/>
      <c r="W70" s="100"/>
      <c r="X70" s="98" t="str">
        <f t="shared" ref="X70:X80" si="0">IF(U70*J70=0,"",U70*J70)</f>
        <v/>
      </c>
      <c r="Y70" s="99"/>
      <c r="Z70" s="100"/>
    </row>
    <row r="71" spans="2:26" ht="33" customHeight="1">
      <c r="B71" s="101" t="s">
        <v>141</v>
      </c>
      <c r="C71" s="102"/>
      <c r="D71" s="102"/>
      <c r="E71" s="102"/>
      <c r="F71" s="102"/>
      <c r="G71" s="102"/>
      <c r="H71" s="102"/>
      <c r="I71" s="103"/>
      <c r="J71" s="101"/>
      <c r="K71" s="102"/>
      <c r="L71" s="103"/>
      <c r="M71" s="23"/>
      <c r="N71" s="104"/>
      <c r="O71" s="105"/>
      <c r="P71" s="105"/>
      <c r="Q71" s="105"/>
      <c r="R71" s="105"/>
      <c r="S71" s="105"/>
      <c r="T71" s="106"/>
      <c r="U71" s="98"/>
      <c r="V71" s="99"/>
      <c r="W71" s="100"/>
      <c r="X71" s="98" t="str">
        <f t="shared" si="0"/>
        <v/>
      </c>
      <c r="Y71" s="99"/>
      <c r="Z71" s="100"/>
    </row>
    <row r="72" spans="2:26" ht="33" customHeight="1">
      <c r="B72" s="101" t="s">
        <v>142</v>
      </c>
      <c r="C72" s="102"/>
      <c r="D72" s="102"/>
      <c r="E72" s="102"/>
      <c r="F72" s="102"/>
      <c r="G72" s="102"/>
      <c r="H72" s="102"/>
      <c r="I72" s="103"/>
      <c r="J72" s="101"/>
      <c r="K72" s="102"/>
      <c r="L72" s="103"/>
      <c r="M72" s="23"/>
      <c r="N72" s="104"/>
      <c r="O72" s="105"/>
      <c r="P72" s="105"/>
      <c r="Q72" s="105"/>
      <c r="R72" s="105"/>
      <c r="S72" s="105"/>
      <c r="T72" s="106"/>
      <c r="U72" s="98"/>
      <c r="V72" s="99"/>
      <c r="W72" s="100"/>
      <c r="X72" s="98" t="str">
        <f t="shared" si="0"/>
        <v/>
      </c>
      <c r="Y72" s="99"/>
      <c r="Z72" s="100"/>
    </row>
    <row r="73" spans="2:26" ht="33" customHeight="1">
      <c r="B73" s="101" t="s">
        <v>143</v>
      </c>
      <c r="C73" s="102"/>
      <c r="D73" s="102"/>
      <c r="E73" s="102"/>
      <c r="F73" s="102"/>
      <c r="G73" s="102"/>
      <c r="H73" s="102"/>
      <c r="I73" s="103"/>
      <c r="J73" s="101"/>
      <c r="K73" s="102"/>
      <c r="L73" s="103"/>
      <c r="M73" s="23"/>
      <c r="N73" s="104"/>
      <c r="O73" s="105"/>
      <c r="P73" s="105"/>
      <c r="Q73" s="105"/>
      <c r="R73" s="105"/>
      <c r="S73" s="105"/>
      <c r="T73" s="106"/>
      <c r="U73" s="98"/>
      <c r="V73" s="99"/>
      <c r="W73" s="100"/>
      <c r="X73" s="98" t="str">
        <f t="shared" si="0"/>
        <v/>
      </c>
      <c r="Y73" s="99"/>
      <c r="Z73" s="100"/>
    </row>
    <row r="74" spans="2:26" ht="33" customHeight="1">
      <c r="B74" s="101" t="s">
        <v>144</v>
      </c>
      <c r="C74" s="102"/>
      <c r="D74" s="102"/>
      <c r="E74" s="102"/>
      <c r="F74" s="102"/>
      <c r="G74" s="102"/>
      <c r="H74" s="102"/>
      <c r="I74" s="103"/>
      <c r="J74" s="101"/>
      <c r="K74" s="102"/>
      <c r="L74" s="103"/>
      <c r="M74" s="23"/>
      <c r="N74" s="104"/>
      <c r="O74" s="105"/>
      <c r="P74" s="105"/>
      <c r="Q74" s="105"/>
      <c r="R74" s="105"/>
      <c r="S74" s="105"/>
      <c r="T74" s="106"/>
      <c r="U74" s="98"/>
      <c r="V74" s="99"/>
      <c r="W74" s="100"/>
      <c r="X74" s="98" t="str">
        <f t="shared" si="0"/>
        <v/>
      </c>
      <c r="Y74" s="99"/>
      <c r="Z74" s="100"/>
    </row>
    <row r="75" spans="2:26" ht="33" customHeight="1">
      <c r="B75" s="101" t="s">
        <v>145</v>
      </c>
      <c r="C75" s="102"/>
      <c r="D75" s="102"/>
      <c r="E75" s="102"/>
      <c r="F75" s="102"/>
      <c r="G75" s="102"/>
      <c r="H75" s="102"/>
      <c r="I75" s="103"/>
      <c r="J75" s="101"/>
      <c r="K75" s="102"/>
      <c r="L75" s="103"/>
      <c r="M75" s="23"/>
      <c r="N75" s="104"/>
      <c r="O75" s="105"/>
      <c r="P75" s="105"/>
      <c r="Q75" s="105"/>
      <c r="R75" s="105"/>
      <c r="S75" s="105"/>
      <c r="T75" s="106"/>
      <c r="U75" s="98"/>
      <c r="V75" s="99"/>
      <c r="W75" s="100"/>
      <c r="X75" s="98" t="str">
        <f t="shared" si="0"/>
        <v/>
      </c>
      <c r="Y75" s="99"/>
      <c r="Z75" s="100"/>
    </row>
    <row r="76" spans="2:26" ht="33" customHeight="1">
      <c r="B76" s="101" t="s">
        <v>146</v>
      </c>
      <c r="C76" s="102"/>
      <c r="D76" s="102"/>
      <c r="E76" s="102"/>
      <c r="F76" s="102"/>
      <c r="G76" s="102"/>
      <c r="H76" s="102"/>
      <c r="I76" s="103"/>
      <c r="J76" s="101"/>
      <c r="K76" s="102"/>
      <c r="L76" s="103"/>
      <c r="M76" s="23"/>
      <c r="N76" s="104"/>
      <c r="O76" s="105"/>
      <c r="P76" s="105"/>
      <c r="Q76" s="105"/>
      <c r="R76" s="105"/>
      <c r="S76" s="105"/>
      <c r="T76" s="106"/>
      <c r="U76" s="98"/>
      <c r="V76" s="99"/>
      <c r="W76" s="100"/>
      <c r="X76" s="98" t="str">
        <f t="shared" si="0"/>
        <v/>
      </c>
      <c r="Y76" s="99"/>
      <c r="Z76" s="100"/>
    </row>
    <row r="77" spans="2:26" ht="33" customHeight="1">
      <c r="B77" s="101" t="s">
        <v>147</v>
      </c>
      <c r="C77" s="102"/>
      <c r="D77" s="102"/>
      <c r="E77" s="102"/>
      <c r="F77" s="102"/>
      <c r="G77" s="102"/>
      <c r="H77" s="102"/>
      <c r="I77" s="103"/>
      <c r="J77" s="101"/>
      <c r="K77" s="102"/>
      <c r="L77" s="103"/>
      <c r="M77" s="23"/>
      <c r="N77" s="104"/>
      <c r="O77" s="105"/>
      <c r="P77" s="105"/>
      <c r="Q77" s="105"/>
      <c r="R77" s="105"/>
      <c r="S77" s="105"/>
      <c r="T77" s="106"/>
      <c r="U77" s="98"/>
      <c r="V77" s="99"/>
      <c r="W77" s="100"/>
      <c r="X77" s="98" t="str">
        <f t="shared" si="0"/>
        <v/>
      </c>
      <c r="Y77" s="99"/>
      <c r="Z77" s="100"/>
    </row>
    <row r="78" spans="2:26" ht="33" customHeight="1">
      <c r="B78" s="101" t="s">
        <v>148</v>
      </c>
      <c r="C78" s="102"/>
      <c r="D78" s="102"/>
      <c r="E78" s="102"/>
      <c r="F78" s="102"/>
      <c r="G78" s="102"/>
      <c r="H78" s="102"/>
      <c r="I78" s="103"/>
      <c r="J78" s="101"/>
      <c r="K78" s="102"/>
      <c r="L78" s="103"/>
      <c r="M78" s="23"/>
      <c r="N78" s="104"/>
      <c r="O78" s="105"/>
      <c r="P78" s="105"/>
      <c r="Q78" s="105"/>
      <c r="R78" s="105"/>
      <c r="S78" s="105"/>
      <c r="T78" s="106"/>
      <c r="U78" s="98"/>
      <c r="V78" s="99"/>
      <c r="W78" s="100"/>
      <c r="X78" s="98" t="str">
        <f t="shared" si="0"/>
        <v/>
      </c>
      <c r="Y78" s="99"/>
      <c r="Z78" s="100"/>
    </row>
    <row r="79" spans="2:26" ht="33" customHeight="1">
      <c r="B79" s="101"/>
      <c r="C79" s="102"/>
      <c r="D79" s="102"/>
      <c r="E79" s="102"/>
      <c r="F79" s="102"/>
      <c r="G79" s="102"/>
      <c r="H79" s="102"/>
      <c r="I79" s="103"/>
      <c r="J79" s="101"/>
      <c r="K79" s="102"/>
      <c r="L79" s="103"/>
      <c r="M79" s="23"/>
      <c r="N79" s="104"/>
      <c r="O79" s="105"/>
      <c r="P79" s="105"/>
      <c r="Q79" s="105"/>
      <c r="R79" s="105"/>
      <c r="S79" s="105"/>
      <c r="T79" s="106"/>
      <c r="U79" s="98"/>
      <c r="V79" s="99"/>
      <c r="W79" s="100"/>
      <c r="X79" s="98" t="str">
        <f t="shared" si="0"/>
        <v/>
      </c>
      <c r="Y79" s="99"/>
      <c r="Z79" s="100"/>
    </row>
    <row r="80" spans="2:26" ht="33" customHeight="1">
      <c r="B80" s="101"/>
      <c r="C80" s="102"/>
      <c r="D80" s="102"/>
      <c r="E80" s="102"/>
      <c r="F80" s="102"/>
      <c r="G80" s="102"/>
      <c r="H80" s="102"/>
      <c r="I80" s="103"/>
      <c r="J80" s="101"/>
      <c r="K80" s="102"/>
      <c r="L80" s="103"/>
      <c r="M80" s="23"/>
      <c r="N80" s="104"/>
      <c r="O80" s="105"/>
      <c r="P80" s="105"/>
      <c r="Q80" s="105"/>
      <c r="R80" s="105"/>
      <c r="S80" s="105"/>
      <c r="T80" s="106"/>
      <c r="U80" s="98"/>
      <c r="V80" s="99"/>
      <c r="W80" s="100"/>
      <c r="X80" s="98" t="str">
        <f t="shared" si="0"/>
        <v/>
      </c>
      <c r="Y80" s="99"/>
      <c r="Z80" s="100"/>
    </row>
    <row r="81" spans="2:28" ht="3" customHeight="1"/>
    <row r="82" spans="2:28" ht="16" customHeight="1">
      <c r="B82" s="114" t="s">
        <v>134</v>
      </c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6"/>
      <c r="N82" s="117">
        <f>SUM(X69:Z80)</f>
        <v>0</v>
      </c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26" t="s">
        <v>10</v>
      </c>
      <c r="AB82" s="22"/>
    </row>
    <row r="83" spans="2:28" ht="16" customHeight="1"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4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6"/>
      <c r="AB83" s="22"/>
    </row>
    <row r="84" spans="2:28" ht="3" customHeight="1"/>
    <row r="85" spans="2:28" ht="22" customHeight="1"/>
    <row r="86" spans="2:28" ht="33" customHeight="1">
      <c r="B86" s="125" t="s">
        <v>135</v>
      </c>
      <c r="C86" s="102"/>
      <c r="D86" s="102"/>
      <c r="E86" s="102"/>
      <c r="F86" s="102"/>
      <c r="G86" s="102"/>
      <c r="H86" s="102"/>
      <c r="I86" s="103"/>
      <c r="J86" s="101"/>
      <c r="K86" s="102"/>
      <c r="L86" s="103"/>
      <c r="M86" s="23" t="s">
        <v>118</v>
      </c>
      <c r="N86" s="107"/>
      <c r="O86" s="108"/>
      <c r="P86" s="108"/>
      <c r="Q86" s="108"/>
      <c r="R86" s="108"/>
      <c r="S86" s="108"/>
      <c r="T86" s="109"/>
      <c r="U86" s="98"/>
      <c r="V86" s="99"/>
      <c r="W86" s="100"/>
      <c r="X86" s="98">
        <f>IFERROR(U86*J86,"")</f>
        <v>0</v>
      </c>
      <c r="Y86" s="99"/>
      <c r="Z86" s="100"/>
    </row>
    <row r="87" spans="2:28" ht="33" customHeight="1">
      <c r="B87" s="101" t="s">
        <v>136</v>
      </c>
      <c r="C87" s="102"/>
      <c r="D87" s="102"/>
      <c r="E87" s="102"/>
      <c r="F87" s="102"/>
      <c r="G87" s="102"/>
      <c r="H87" s="102"/>
      <c r="I87" s="103"/>
      <c r="J87" s="101"/>
      <c r="K87" s="102"/>
      <c r="L87" s="103"/>
      <c r="M87" s="23" t="s">
        <v>118</v>
      </c>
      <c r="N87" s="107"/>
      <c r="O87" s="108"/>
      <c r="P87" s="108"/>
      <c r="Q87" s="108"/>
      <c r="R87" s="108"/>
      <c r="S87" s="108"/>
      <c r="T87" s="109"/>
      <c r="U87" s="98"/>
      <c r="V87" s="99"/>
      <c r="W87" s="100"/>
      <c r="X87" s="98">
        <f t="shared" ref="X87:X94" si="1">IFERROR(U87*J87,"")</f>
        <v>0</v>
      </c>
      <c r="Y87" s="99"/>
      <c r="Z87" s="100"/>
    </row>
    <row r="88" spans="2:28" ht="33" customHeight="1">
      <c r="B88" s="101" t="s">
        <v>137</v>
      </c>
      <c r="C88" s="102"/>
      <c r="D88" s="102"/>
      <c r="E88" s="102"/>
      <c r="F88" s="102"/>
      <c r="G88" s="102"/>
      <c r="H88" s="102"/>
      <c r="I88" s="103"/>
      <c r="J88" s="101"/>
      <c r="K88" s="102"/>
      <c r="L88" s="103"/>
      <c r="M88" s="23" t="s">
        <v>118</v>
      </c>
      <c r="N88" s="107"/>
      <c r="O88" s="108"/>
      <c r="P88" s="108"/>
      <c r="Q88" s="108"/>
      <c r="R88" s="108"/>
      <c r="S88" s="108"/>
      <c r="T88" s="109"/>
      <c r="U88" s="98"/>
      <c r="V88" s="99"/>
      <c r="W88" s="100"/>
      <c r="X88" s="98">
        <f t="shared" si="1"/>
        <v>0</v>
      </c>
      <c r="Y88" s="99"/>
      <c r="Z88" s="100"/>
    </row>
    <row r="89" spans="2:28" ht="33" customHeight="1">
      <c r="B89" s="101" t="s">
        <v>138</v>
      </c>
      <c r="C89" s="102"/>
      <c r="D89" s="102"/>
      <c r="E89" s="102"/>
      <c r="F89" s="102"/>
      <c r="G89" s="102"/>
      <c r="H89" s="102"/>
      <c r="I89" s="103"/>
      <c r="J89" s="101"/>
      <c r="K89" s="102"/>
      <c r="L89" s="103"/>
      <c r="M89" s="23" t="s">
        <v>118</v>
      </c>
      <c r="N89" s="107"/>
      <c r="O89" s="108"/>
      <c r="P89" s="108"/>
      <c r="Q89" s="108"/>
      <c r="R89" s="108"/>
      <c r="S89" s="108"/>
      <c r="T89" s="109"/>
      <c r="U89" s="98"/>
      <c r="V89" s="99"/>
      <c r="W89" s="100"/>
      <c r="X89" s="98">
        <f t="shared" si="1"/>
        <v>0</v>
      </c>
      <c r="Y89" s="99"/>
      <c r="Z89" s="100"/>
    </row>
    <row r="90" spans="2:28" ht="33" customHeight="1">
      <c r="B90" s="101" t="s">
        <v>110</v>
      </c>
      <c r="C90" s="102"/>
      <c r="D90" s="102"/>
      <c r="E90" s="102"/>
      <c r="F90" s="102"/>
      <c r="G90" s="102"/>
      <c r="H90" s="102"/>
      <c r="I90" s="103"/>
      <c r="J90" s="101"/>
      <c r="K90" s="102"/>
      <c r="L90" s="103"/>
      <c r="M90" s="23" t="s">
        <v>118</v>
      </c>
      <c r="N90" s="107"/>
      <c r="O90" s="108"/>
      <c r="P90" s="108"/>
      <c r="Q90" s="108"/>
      <c r="R90" s="108"/>
      <c r="S90" s="108"/>
      <c r="T90" s="109"/>
      <c r="U90" s="98"/>
      <c r="V90" s="99"/>
      <c r="W90" s="100"/>
      <c r="X90" s="98">
        <f t="shared" si="1"/>
        <v>0</v>
      </c>
      <c r="Y90" s="99"/>
      <c r="Z90" s="100"/>
    </row>
    <row r="91" spans="2:28" ht="33" customHeight="1">
      <c r="B91" s="101" t="s">
        <v>149</v>
      </c>
      <c r="C91" s="102"/>
      <c r="D91" s="102"/>
      <c r="E91" s="102"/>
      <c r="F91" s="102"/>
      <c r="G91" s="102"/>
      <c r="H91" s="102"/>
      <c r="I91" s="103"/>
      <c r="J91" s="101"/>
      <c r="K91" s="102"/>
      <c r="L91" s="103"/>
      <c r="M91" s="23" t="s">
        <v>118</v>
      </c>
      <c r="N91" s="107"/>
      <c r="O91" s="108"/>
      <c r="P91" s="108"/>
      <c r="Q91" s="108"/>
      <c r="R91" s="108"/>
      <c r="S91" s="108"/>
      <c r="T91" s="109"/>
      <c r="U91" s="98"/>
      <c r="V91" s="99"/>
      <c r="W91" s="100"/>
      <c r="X91" s="98">
        <f t="shared" si="1"/>
        <v>0</v>
      </c>
      <c r="Y91" s="99"/>
      <c r="Z91" s="100"/>
    </row>
    <row r="92" spans="2:28" ht="33" customHeight="1">
      <c r="B92" s="101" t="s">
        <v>150</v>
      </c>
      <c r="C92" s="102"/>
      <c r="D92" s="102"/>
      <c r="E92" s="102"/>
      <c r="F92" s="102"/>
      <c r="G92" s="102"/>
      <c r="H92" s="102"/>
      <c r="I92" s="103"/>
      <c r="J92" s="101"/>
      <c r="K92" s="102"/>
      <c r="L92" s="103"/>
      <c r="M92" s="23" t="s">
        <v>118</v>
      </c>
      <c r="N92" s="107"/>
      <c r="O92" s="108"/>
      <c r="P92" s="108"/>
      <c r="Q92" s="108"/>
      <c r="R92" s="108"/>
      <c r="S92" s="108"/>
      <c r="T92" s="109"/>
      <c r="U92" s="98"/>
      <c r="V92" s="99"/>
      <c r="W92" s="100"/>
      <c r="X92" s="98">
        <f t="shared" si="1"/>
        <v>0</v>
      </c>
      <c r="Y92" s="99"/>
      <c r="Z92" s="100"/>
    </row>
    <row r="93" spans="2:28" ht="33" customHeight="1">
      <c r="B93" s="101" t="s">
        <v>151</v>
      </c>
      <c r="C93" s="102"/>
      <c r="D93" s="102"/>
      <c r="E93" s="102"/>
      <c r="F93" s="102"/>
      <c r="G93" s="102"/>
      <c r="H93" s="102"/>
      <c r="I93" s="103"/>
      <c r="J93" s="101"/>
      <c r="K93" s="102"/>
      <c r="L93" s="103"/>
      <c r="M93" s="23" t="s">
        <v>118</v>
      </c>
      <c r="N93" s="107"/>
      <c r="O93" s="108"/>
      <c r="P93" s="108"/>
      <c r="Q93" s="108"/>
      <c r="R93" s="108"/>
      <c r="S93" s="108"/>
      <c r="T93" s="109"/>
      <c r="U93" s="98"/>
      <c r="V93" s="99"/>
      <c r="W93" s="100"/>
      <c r="X93" s="98">
        <f t="shared" si="1"/>
        <v>0</v>
      </c>
      <c r="Y93" s="99"/>
      <c r="Z93" s="100"/>
    </row>
    <row r="94" spans="2:28" ht="33" customHeight="1">
      <c r="B94" s="101"/>
      <c r="C94" s="102"/>
      <c r="D94" s="102"/>
      <c r="E94" s="102"/>
      <c r="F94" s="102"/>
      <c r="G94" s="102"/>
      <c r="H94" s="102"/>
      <c r="I94" s="103"/>
      <c r="J94" s="101"/>
      <c r="K94" s="102"/>
      <c r="L94" s="103"/>
      <c r="M94" s="23" t="s">
        <v>118</v>
      </c>
      <c r="N94" s="107"/>
      <c r="O94" s="108"/>
      <c r="P94" s="108"/>
      <c r="Q94" s="108"/>
      <c r="R94" s="108"/>
      <c r="S94" s="108"/>
      <c r="T94" s="109"/>
      <c r="U94" s="98"/>
      <c r="V94" s="99"/>
      <c r="W94" s="100"/>
      <c r="X94" s="98">
        <f t="shared" si="1"/>
        <v>0</v>
      </c>
      <c r="Y94" s="99"/>
      <c r="Z94" s="100"/>
    </row>
    <row r="95" spans="2:28" ht="3" customHeight="1"/>
    <row r="96" spans="2:28" ht="16" customHeight="1">
      <c r="B96" s="114" t="s">
        <v>117</v>
      </c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6"/>
      <c r="N96" s="117">
        <f>SUM(X84:Z94)</f>
        <v>0</v>
      </c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26" t="s">
        <v>10</v>
      </c>
      <c r="AB96" s="22"/>
    </row>
    <row r="97" spans="2:26" ht="3" customHeight="1"/>
    <row r="98" spans="2:26" ht="84" customHeight="1"/>
    <row r="99" spans="2:26" ht="10" customHeight="1"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28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spans="2:26" ht="3" customHeight="1"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2:26" ht="8" customHeight="1">
      <c r="K101" s="95" t="s">
        <v>37</v>
      </c>
      <c r="L101" s="95"/>
      <c r="M101" s="95"/>
      <c r="N101" s="95"/>
      <c r="O101" s="95"/>
      <c r="P101" s="10"/>
      <c r="Q101" s="129" t="str">
        <f>IFERROR(N67+N82+N96,"")</f>
        <v/>
      </c>
      <c r="R101" s="130"/>
      <c r="S101" s="130"/>
      <c r="T101" s="130"/>
      <c r="U101" s="130"/>
      <c r="V101" s="130"/>
      <c r="W101" s="130"/>
      <c r="X101" s="130"/>
      <c r="Y101" s="130"/>
      <c r="Z101" s="127" t="s">
        <v>10</v>
      </c>
    </row>
    <row r="102" spans="2:26" ht="8" customHeight="1">
      <c r="K102" s="110"/>
      <c r="L102" s="110"/>
      <c r="M102" s="110"/>
      <c r="N102" s="110"/>
      <c r="O102" s="110"/>
      <c r="P102" s="8"/>
      <c r="Q102" s="131"/>
      <c r="R102" s="131"/>
      <c r="S102" s="131"/>
      <c r="T102" s="131"/>
      <c r="U102" s="131"/>
      <c r="V102" s="131"/>
      <c r="W102" s="131"/>
      <c r="X102" s="131"/>
      <c r="Y102" s="131"/>
      <c r="Z102" s="133"/>
    </row>
    <row r="103" spans="2:26" ht="8" customHeight="1">
      <c r="K103" s="96"/>
      <c r="L103" s="96"/>
      <c r="M103" s="96"/>
      <c r="N103" s="96"/>
      <c r="O103" s="96"/>
      <c r="P103" s="15"/>
      <c r="Q103" s="132"/>
      <c r="R103" s="132"/>
      <c r="S103" s="132"/>
      <c r="T103" s="132"/>
      <c r="U103" s="132"/>
      <c r="V103" s="132"/>
      <c r="W103" s="132"/>
      <c r="X103" s="132"/>
      <c r="Y103" s="132"/>
      <c r="Z103" s="128"/>
    </row>
    <row r="104" spans="2:26" ht="3" customHeight="1"/>
    <row r="105" spans="2:26" ht="8" customHeight="1">
      <c r="K105" s="95" t="s">
        <v>36</v>
      </c>
      <c r="L105" s="95"/>
      <c r="M105" s="95"/>
      <c r="N105" s="95"/>
      <c r="O105" s="95"/>
      <c r="P105" s="10"/>
      <c r="Q105" s="111" t="str">
        <f>IFERROR(Q101*0.1,"")</f>
        <v/>
      </c>
      <c r="R105" s="111"/>
      <c r="S105" s="111"/>
      <c r="T105" s="111"/>
      <c r="U105" s="111"/>
      <c r="V105" s="111"/>
      <c r="W105" s="111"/>
      <c r="X105" s="111"/>
      <c r="Y105" s="111"/>
      <c r="Z105" s="127" t="s">
        <v>10</v>
      </c>
    </row>
    <row r="106" spans="2:26" ht="8" customHeight="1">
      <c r="K106" s="110"/>
      <c r="L106" s="110"/>
      <c r="M106" s="110"/>
      <c r="N106" s="110"/>
      <c r="O106" s="110"/>
      <c r="P106" s="8"/>
      <c r="Q106" s="112"/>
      <c r="R106" s="112"/>
      <c r="S106" s="112"/>
      <c r="T106" s="112"/>
      <c r="U106" s="112"/>
      <c r="V106" s="112"/>
      <c r="W106" s="112"/>
      <c r="X106" s="112"/>
      <c r="Y106" s="112"/>
      <c r="Z106" s="133"/>
    </row>
    <row r="107" spans="2:26" ht="8" customHeight="1">
      <c r="K107" s="96"/>
      <c r="L107" s="96"/>
      <c r="M107" s="96"/>
      <c r="N107" s="96"/>
      <c r="O107" s="96"/>
      <c r="P107" s="15"/>
      <c r="Q107" s="113"/>
      <c r="R107" s="113"/>
      <c r="S107" s="113"/>
      <c r="T107" s="113"/>
      <c r="U107" s="113"/>
      <c r="V107" s="113"/>
      <c r="W107" s="113"/>
      <c r="X107" s="113"/>
      <c r="Y107" s="113"/>
      <c r="Z107" s="128"/>
    </row>
    <row r="108" spans="2:26" ht="3" customHeight="1" thickBot="1"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2:26" ht="12" customHeight="1" thickTop="1">
      <c r="K109" s="110" t="s">
        <v>35</v>
      </c>
      <c r="L109" s="110"/>
      <c r="M109" s="110"/>
      <c r="N109" s="110"/>
      <c r="O109" s="110"/>
      <c r="P109" s="8"/>
      <c r="Q109" s="136" t="str">
        <f>IFERROR(Q101+Q105,"")</f>
        <v/>
      </c>
      <c r="R109" s="131"/>
      <c r="S109" s="131"/>
      <c r="T109" s="131"/>
      <c r="U109" s="131"/>
      <c r="V109" s="131"/>
      <c r="W109" s="131"/>
      <c r="X109" s="131"/>
      <c r="Y109" s="131"/>
      <c r="Z109" s="133" t="s">
        <v>10</v>
      </c>
    </row>
    <row r="110" spans="2:26" ht="12" customHeight="1">
      <c r="K110" s="110"/>
      <c r="L110" s="110"/>
      <c r="M110" s="110"/>
      <c r="N110" s="110"/>
      <c r="O110" s="110"/>
      <c r="P110" s="8"/>
      <c r="Q110" s="131"/>
      <c r="R110" s="131"/>
      <c r="S110" s="131"/>
      <c r="T110" s="131"/>
      <c r="U110" s="131"/>
      <c r="V110" s="131"/>
      <c r="W110" s="131"/>
      <c r="X110" s="131"/>
      <c r="Y110" s="131"/>
      <c r="Z110" s="133"/>
    </row>
    <row r="111" spans="2:26" ht="12" customHeight="1" thickBot="1">
      <c r="K111" s="135"/>
      <c r="L111" s="135"/>
      <c r="M111" s="135"/>
      <c r="N111" s="135"/>
      <c r="O111" s="135"/>
      <c r="P111" s="29"/>
      <c r="Q111" s="137"/>
      <c r="R111" s="137"/>
      <c r="S111" s="137"/>
      <c r="T111" s="137"/>
      <c r="U111" s="137"/>
      <c r="V111" s="137"/>
      <c r="W111" s="137"/>
      <c r="X111" s="137"/>
      <c r="Y111" s="137"/>
      <c r="Z111" s="138"/>
    </row>
    <row r="112" spans="2:26" ht="8" customHeight="1" thickTop="1"/>
  </sheetData>
  <mergeCells count="180">
    <mergeCell ref="K109:O111"/>
    <mergeCell ref="Q109:Y111"/>
    <mergeCell ref="Z109:Z111"/>
    <mergeCell ref="Z105:Z107"/>
    <mergeCell ref="B67:M67"/>
    <mergeCell ref="N67:Y67"/>
    <mergeCell ref="B82:M82"/>
    <mergeCell ref="N82:Y82"/>
    <mergeCell ref="H58:Q60"/>
    <mergeCell ref="B92:I92"/>
    <mergeCell ref="J92:L92"/>
    <mergeCell ref="N92:T92"/>
    <mergeCell ref="U92:W92"/>
    <mergeCell ref="X92:Z92"/>
    <mergeCell ref="X90:Z90"/>
    <mergeCell ref="B91:I91"/>
    <mergeCell ref="J91:L91"/>
    <mergeCell ref="N91:T91"/>
    <mergeCell ref="U91:W91"/>
    <mergeCell ref="X91:Z91"/>
    <mergeCell ref="X88:Z88"/>
    <mergeCell ref="B89:I89"/>
    <mergeCell ref="J89:L89"/>
    <mergeCell ref="X86:Z86"/>
    <mergeCell ref="AD62:AL62"/>
    <mergeCell ref="R38:V39"/>
    <mergeCell ref="B58:F60"/>
    <mergeCell ref="J38:N39"/>
    <mergeCell ref="H38:I39"/>
    <mergeCell ref="H41:I42"/>
    <mergeCell ref="J41:N42"/>
    <mergeCell ref="K101:O103"/>
    <mergeCell ref="Q101:Y103"/>
    <mergeCell ref="Z101:Z103"/>
    <mergeCell ref="B99:I99"/>
    <mergeCell ref="J99:L99"/>
    <mergeCell ref="N99:T99"/>
    <mergeCell ref="U99:W99"/>
    <mergeCell ref="X99:Z99"/>
    <mergeCell ref="X93:Z93"/>
    <mergeCell ref="B94:I94"/>
    <mergeCell ref="J94:L94"/>
    <mergeCell ref="N94:T94"/>
    <mergeCell ref="U94:W94"/>
    <mergeCell ref="X94:Z94"/>
    <mergeCell ref="E48:G48"/>
    <mergeCell ref="E49:G49"/>
    <mergeCell ref="X89:Z89"/>
    <mergeCell ref="B87:I87"/>
    <mergeCell ref="J87:L87"/>
    <mergeCell ref="N87:T87"/>
    <mergeCell ref="U87:W87"/>
    <mergeCell ref="X87:Z87"/>
    <mergeCell ref="B86:I86"/>
    <mergeCell ref="J86:L86"/>
    <mergeCell ref="N86:T86"/>
    <mergeCell ref="U86:W86"/>
    <mergeCell ref="X80:Z80"/>
    <mergeCell ref="X78:Z78"/>
    <mergeCell ref="B79:I79"/>
    <mergeCell ref="J79:L79"/>
    <mergeCell ref="N79:T79"/>
    <mergeCell ref="U79:W79"/>
    <mergeCell ref="X79:Z79"/>
    <mergeCell ref="X76:Z76"/>
    <mergeCell ref="B77:I77"/>
    <mergeCell ref="J77:L77"/>
    <mergeCell ref="N77:T77"/>
    <mergeCell ref="U77:W77"/>
    <mergeCell ref="X77:Z77"/>
    <mergeCell ref="B80:I80"/>
    <mergeCell ref="J80:L80"/>
    <mergeCell ref="N80:T80"/>
    <mergeCell ref="U80:W80"/>
    <mergeCell ref="B78:I78"/>
    <mergeCell ref="J78:L78"/>
    <mergeCell ref="N78:T78"/>
    <mergeCell ref="U78:W78"/>
    <mergeCell ref="B76:I76"/>
    <mergeCell ref="J76:L76"/>
    <mergeCell ref="N76:T76"/>
    <mergeCell ref="X74:Z74"/>
    <mergeCell ref="B75:I75"/>
    <mergeCell ref="J75:L75"/>
    <mergeCell ref="N75:T75"/>
    <mergeCell ref="U75:W75"/>
    <mergeCell ref="X75:Z75"/>
    <mergeCell ref="X72:Z72"/>
    <mergeCell ref="B73:I73"/>
    <mergeCell ref="J73:L73"/>
    <mergeCell ref="N73:T73"/>
    <mergeCell ref="U73:W73"/>
    <mergeCell ref="X73:Z73"/>
    <mergeCell ref="X64:Z64"/>
    <mergeCell ref="U64:W64"/>
    <mergeCell ref="N64:T64"/>
    <mergeCell ref="B64:I64"/>
    <mergeCell ref="J64:L64"/>
    <mergeCell ref="B65:I65"/>
    <mergeCell ref="J65:L65"/>
    <mergeCell ref="N65:T65"/>
    <mergeCell ref="U65:W65"/>
    <mergeCell ref="K105:O107"/>
    <mergeCell ref="Q105:Y107"/>
    <mergeCell ref="B93:I93"/>
    <mergeCell ref="J93:L93"/>
    <mergeCell ref="N93:T93"/>
    <mergeCell ref="U93:W93"/>
    <mergeCell ref="B96:M96"/>
    <mergeCell ref="N96:Y96"/>
    <mergeCell ref="X65:Z65"/>
    <mergeCell ref="B69:I69"/>
    <mergeCell ref="J69:L69"/>
    <mergeCell ref="N69:T69"/>
    <mergeCell ref="U69:W69"/>
    <mergeCell ref="X69:Z69"/>
    <mergeCell ref="B70:I70"/>
    <mergeCell ref="J70:L70"/>
    <mergeCell ref="N70:T70"/>
    <mergeCell ref="U70:W70"/>
    <mergeCell ref="X70:Z70"/>
    <mergeCell ref="B71:I71"/>
    <mergeCell ref="J71:L71"/>
    <mergeCell ref="N71:T71"/>
    <mergeCell ref="U71:W71"/>
    <mergeCell ref="X71:Z71"/>
    <mergeCell ref="B90:I90"/>
    <mergeCell ref="J90:L90"/>
    <mergeCell ref="N90:T90"/>
    <mergeCell ref="U90:W90"/>
    <mergeCell ref="B88:I88"/>
    <mergeCell ref="J88:L88"/>
    <mergeCell ref="N88:T88"/>
    <mergeCell ref="U88:W88"/>
    <mergeCell ref="N89:T89"/>
    <mergeCell ref="U89:W89"/>
    <mergeCell ref="U76:W76"/>
    <mergeCell ref="B74:I74"/>
    <mergeCell ref="J74:L74"/>
    <mergeCell ref="N74:T74"/>
    <mergeCell ref="U74:W74"/>
    <mergeCell ref="B72:I72"/>
    <mergeCell ref="J72:L72"/>
    <mergeCell ref="N72:T72"/>
    <mergeCell ref="U72:W72"/>
    <mergeCell ref="I51:J51"/>
    <mergeCell ref="N24:R25"/>
    <mergeCell ref="S24:S25"/>
    <mergeCell ref="H27:M28"/>
    <mergeCell ref="N27:R28"/>
    <mergeCell ref="S27:S28"/>
    <mergeCell ref="H30:M31"/>
    <mergeCell ref="E50:G50"/>
    <mergeCell ref="E51:G51"/>
    <mergeCell ref="D46:K46"/>
    <mergeCell ref="I48:J48"/>
    <mergeCell ref="I49:J49"/>
    <mergeCell ref="N30:R31"/>
    <mergeCell ref="S30:S31"/>
    <mergeCell ref="H33:M34"/>
    <mergeCell ref="N33:R34"/>
    <mergeCell ref="S33:S34"/>
    <mergeCell ref="H24:M25"/>
    <mergeCell ref="P38:Q39"/>
    <mergeCell ref="D38:F42"/>
    <mergeCell ref="T11:V11"/>
    <mergeCell ref="K10:R12"/>
    <mergeCell ref="B5:H6"/>
    <mergeCell ref="V4:Y4"/>
    <mergeCell ref="V5:Y5"/>
    <mergeCell ref="V6:Y6"/>
    <mergeCell ref="E11:J11"/>
    <mergeCell ref="I50:J50"/>
    <mergeCell ref="H17:S18"/>
    <mergeCell ref="H20:M21"/>
    <mergeCell ref="N20:R21"/>
    <mergeCell ref="S20:S21"/>
    <mergeCell ref="H22:M23"/>
    <mergeCell ref="N22:R23"/>
    <mergeCell ref="S22:S23"/>
  </mergeCells>
  <phoneticPr fontId="1"/>
  <dataValidations count="2">
    <dataValidation type="list" allowBlank="1" showInputMessage="1" showErrorMessage="1" sqref="N80:T80" xr:uid="{5B4EA059-AE0B-9749-A352-FA277D0BC6DE}">
      <formula1>#REF!</formula1>
    </dataValidation>
    <dataValidation type="list" allowBlank="1" showInputMessage="1" showErrorMessage="1" sqref="N65:T65" xr:uid="{D1A522AC-7D92-4540-9CEC-A2D4DC9ABA7D}">
      <formula1>#REF!</formula1>
    </dataValidation>
  </dataValidations>
  <pageMargins left="0.7" right="0.7" top="0.75" bottom="0.75" header="0.3" footer="0.3"/>
  <pageSetup paperSize="9" scale="98" orientation="portrait" verticalDpi="0" r:id="rId1"/>
  <rowBreaks count="2" manualBreakCount="2">
    <brk id="56" max="26" man="1"/>
    <brk id="83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9E00-5913-6F43-9013-BDD319F86471}">
  <dimension ref="B1:Z176"/>
  <sheetViews>
    <sheetView zoomScaleNormal="100" workbookViewId="0">
      <selection activeCell="B67" sqref="B67:G67"/>
    </sheetView>
  </sheetViews>
  <sheetFormatPr baseColWidth="10" defaultColWidth="10.7109375" defaultRowHeight="15"/>
  <cols>
    <col min="1" max="7" width="2.7109375" style="8" customWidth="1"/>
    <col min="8" max="8" width="0.85546875" style="8" customWidth="1"/>
    <col min="9" max="13" width="2.7109375" style="54" customWidth="1"/>
    <col min="14" max="14" width="0.7109375" style="8" customWidth="1"/>
    <col min="15" max="54" width="2.7109375" style="8" customWidth="1"/>
    <col min="55" max="16384" width="10.7109375" style="8"/>
  </cols>
  <sheetData>
    <row r="1" spans="2:26" ht="11" customHeight="1"/>
    <row r="2" spans="2:26" ht="11" customHeight="1">
      <c r="U2" s="52"/>
      <c r="V2" s="141">
        <f ca="1">見積もり!V5</f>
        <v>46074</v>
      </c>
      <c r="W2" s="141"/>
      <c r="X2" s="141"/>
      <c r="Y2" s="141"/>
      <c r="Z2" s="141"/>
    </row>
    <row r="3" spans="2:26" ht="11" customHeight="1">
      <c r="B3" s="32" t="s">
        <v>84</v>
      </c>
    </row>
    <row r="4" spans="2:26" ht="5" customHeight="1"/>
    <row r="5" spans="2:26" ht="17" customHeight="1">
      <c r="B5" s="165" t="s">
        <v>38</v>
      </c>
      <c r="C5" s="165"/>
      <c r="D5" s="165"/>
      <c r="E5" s="165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 spans="2:26" ht="11" customHeight="1"/>
    <row r="7" spans="2:26" ht="11" customHeight="1">
      <c r="B7" s="32" t="s">
        <v>39</v>
      </c>
    </row>
    <row r="8" spans="2:26" ht="5" customHeight="1"/>
    <row r="9" spans="2:26" ht="11" customHeight="1">
      <c r="B9" s="166" t="s">
        <v>41</v>
      </c>
      <c r="C9" s="166"/>
      <c r="D9" s="166"/>
      <c r="E9" s="166"/>
      <c r="F9" s="166"/>
      <c r="G9" s="166"/>
      <c r="H9" s="20"/>
      <c r="I9" s="166" t="s">
        <v>31</v>
      </c>
      <c r="J9" s="166"/>
      <c r="K9" s="166"/>
      <c r="L9" s="166"/>
      <c r="M9" s="166"/>
      <c r="O9" s="166" t="s">
        <v>40</v>
      </c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spans="2:26" ht="3" customHeight="1">
      <c r="B10" s="20"/>
      <c r="C10" s="20"/>
      <c r="D10" s="20"/>
      <c r="E10" s="20"/>
      <c r="F10" s="20"/>
      <c r="G10" s="20"/>
    </row>
    <row r="11" spans="2:26" ht="10.75" customHeight="1">
      <c r="B11" s="154" t="s">
        <v>43</v>
      </c>
      <c r="C11" s="154"/>
      <c r="D11" s="154"/>
      <c r="E11" s="154"/>
      <c r="F11" s="154"/>
      <c r="G11" s="154"/>
      <c r="I11" s="155" t="str">
        <f>見積もり!N67</f>
        <v/>
      </c>
      <c r="J11" s="155"/>
      <c r="K11" s="155"/>
      <c r="L11" s="155"/>
      <c r="M11" s="155"/>
      <c r="O11" s="156" t="str">
        <f>IF(見積もり!N65="","",見積もり!N65)</f>
        <v/>
      </c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 spans="2:26" ht="10.75" customHeight="1">
      <c r="B12" s="158" t="s">
        <v>42</v>
      </c>
      <c r="C12" s="158"/>
      <c r="D12" s="158"/>
      <c r="E12" s="158"/>
      <c r="F12" s="158"/>
      <c r="G12" s="158"/>
      <c r="I12" s="150" t="str">
        <f>IF(見積もり!N82=0,"",見積もり!N82)</f>
        <v/>
      </c>
      <c r="J12" s="150"/>
      <c r="K12" s="150"/>
      <c r="L12" s="150"/>
      <c r="M12" s="150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</row>
    <row r="13" spans="2:26" ht="10.75" customHeight="1">
      <c r="B13" s="143" t="s">
        <v>44</v>
      </c>
      <c r="C13" s="143"/>
      <c r="D13" s="143"/>
      <c r="E13" s="143"/>
      <c r="F13" s="143"/>
      <c r="G13" s="143"/>
      <c r="I13" s="144">
        <f>見積もり!N96</f>
        <v>0</v>
      </c>
      <c r="J13" s="144"/>
      <c r="K13" s="144"/>
      <c r="L13" s="144"/>
      <c r="M13" s="144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spans="2:26" ht="10.75" customHeight="1">
      <c r="B14" s="158"/>
      <c r="C14" s="158"/>
      <c r="D14" s="158"/>
      <c r="E14" s="158"/>
      <c r="F14" s="158"/>
      <c r="G14" s="158"/>
      <c r="I14" s="150"/>
      <c r="J14" s="150"/>
      <c r="K14" s="150"/>
      <c r="L14" s="150"/>
      <c r="M14" s="150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 spans="2:26" ht="10.75" customHeight="1">
      <c r="B15" s="143"/>
      <c r="C15" s="143"/>
      <c r="D15" s="143"/>
      <c r="E15" s="143"/>
      <c r="F15" s="143"/>
      <c r="G15" s="143"/>
      <c r="I15" s="144"/>
      <c r="J15" s="144"/>
      <c r="K15" s="144"/>
      <c r="L15" s="144"/>
      <c r="M15" s="144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spans="2:26" ht="10.75" customHeight="1">
      <c r="B16" s="158" t="s">
        <v>19</v>
      </c>
      <c r="C16" s="158"/>
      <c r="D16" s="158"/>
      <c r="E16" s="158"/>
      <c r="F16" s="158"/>
      <c r="G16" s="158"/>
      <c r="I16" s="150" t="str">
        <f>見積もり!Q105</f>
        <v/>
      </c>
      <c r="J16" s="150"/>
      <c r="K16" s="150"/>
      <c r="L16" s="150"/>
      <c r="M16" s="150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spans="2:26" ht="3" customHeight="1">
      <c r="B17" s="35"/>
      <c r="C17" s="35"/>
      <c r="D17" s="35"/>
      <c r="E17" s="35"/>
      <c r="F17" s="35"/>
      <c r="G17" s="35"/>
      <c r="I17" s="55"/>
      <c r="J17" s="55"/>
      <c r="K17" s="55"/>
      <c r="L17" s="55"/>
      <c r="M17" s="55"/>
    </row>
    <row r="18" spans="2:26" ht="15" customHeight="1">
      <c r="B18" s="146" t="s">
        <v>133</v>
      </c>
      <c r="C18" s="146"/>
      <c r="D18" s="146"/>
      <c r="E18" s="146"/>
      <c r="F18" s="146"/>
      <c r="G18" s="146"/>
      <c r="I18" s="147" t="str">
        <f>IF(SUM(I11:M16)=0,"",SUM(I11:M16))</f>
        <v/>
      </c>
      <c r="J18" s="147"/>
      <c r="K18" s="147"/>
      <c r="L18" s="147"/>
      <c r="M18" s="147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 spans="2:26" ht="2" customHeight="1">
      <c r="B19" s="36"/>
      <c r="C19" s="36"/>
      <c r="D19" s="36"/>
      <c r="E19" s="36"/>
      <c r="F19" s="36"/>
      <c r="G19" s="36"/>
      <c r="H19" s="15"/>
      <c r="I19" s="56"/>
      <c r="J19" s="56"/>
      <c r="K19" s="56"/>
      <c r="L19" s="56"/>
      <c r="M19" s="56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2:26" ht="5" customHeight="1">
      <c r="B20" s="35"/>
      <c r="C20" s="35"/>
      <c r="D20" s="35"/>
      <c r="E20" s="35"/>
      <c r="F20" s="35"/>
      <c r="G20" s="35"/>
      <c r="I20" s="55"/>
      <c r="J20" s="55"/>
      <c r="K20" s="55"/>
      <c r="L20" s="55"/>
      <c r="M20" s="55"/>
    </row>
    <row r="21" spans="2:26" ht="10.75" customHeight="1">
      <c r="B21" s="154" t="s">
        <v>45</v>
      </c>
      <c r="C21" s="154"/>
      <c r="D21" s="154"/>
      <c r="E21" s="154"/>
      <c r="F21" s="154"/>
      <c r="G21" s="154"/>
      <c r="I21" s="155"/>
      <c r="J21" s="155"/>
      <c r="K21" s="155"/>
      <c r="L21" s="155"/>
      <c r="M21" s="155"/>
      <c r="O21" s="156" t="s">
        <v>85</v>
      </c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 spans="2:26" ht="10.75" customHeight="1">
      <c r="B22" s="151" t="s">
        <v>46</v>
      </c>
      <c r="C22" s="151"/>
      <c r="D22" s="151"/>
      <c r="E22" s="151"/>
      <c r="F22" s="151"/>
      <c r="G22" s="151"/>
      <c r="I22" s="150"/>
      <c r="J22" s="150"/>
      <c r="K22" s="150"/>
      <c r="L22" s="150"/>
      <c r="M22" s="150"/>
      <c r="O22" s="152" t="s">
        <v>86</v>
      </c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 spans="2:26" ht="10.75" customHeight="1">
      <c r="B23" s="143" t="s">
        <v>47</v>
      </c>
      <c r="C23" s="143"/>
      <c r="D23" s="143"/>
      <c r="E23" s="143"/>
      <c r="F23" s="143"/>
      <c r="G23" s="143"/>
      <c r="I23" s="144"/>
      <c r="J23" s="144"/>
      <c r="K23" s="144"/>
      <c r="L23" s="144"/>
      <c r="M23" s="144"/>
      <c r="O23" s="145" t="s">
        <v>87</v>
      </c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spans="2:26" ht="10.75" customHeight="1">
      <c r="B24" s="151" t="s">
        <v>48</v>
      </c>
      <c r="C24" s="151"/>
      <c r="D24" s="151"/>
      <c r="E24" s="151"/>
      <c r="F24" s="151"/>
      <c r="G24" s="151"/>
      <c r="I24" s="150"/>
      <c r="J24" s="150"/>
      <c r="K24" s="150"/>
      <c r="L24" s="150"/>
      <c r="M24" s="150"/>
      <c r="O24" s="152" t="s">
        <v>89</v>
      </c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 spans="2:26" ht="10.75" customHeight="1">
      <c r="B25" s="143" t="s">
        <v>49</v>
      </c>
      <c r="C25" s="143"/>
      <c r="D25" s="143"/>
      <c r="E25" s="143"/>
      <c r="F25" s="143"/>
      <c r="G25" s="143"/>
      <c r="I25" s="144"/>
      <c r="J25" s="144"/>
      <c r="K25" s="144"/>
      <c r="L25" s="144"/>
      <c r="M25" s="144"/>
      <c r="O25" s="145" t="s">
        <v>88</v>
      </c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spans="2:26" ht="10.75" customHeight="1">
      <c r="B26" s="151" t="s">
        <v>50</v>
      </c>
      <c r="C26" s="151"/>
      <c r="D26" s="151"/>
      <c r="E26" s="151"/>
      <c r="F26" s="151"/>
      <c r="G26" s="151"/>
      <c r="I26" s="150"/>
      <c r="J26" s="150"/>
      <c r="K26" s="150"/>
      <c r="L26" s="150"/>
      <c r="M26" s="150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 spans="2:26" ht="3" customHeight="1">
      <c r="B27" s="35"/>
      <c r="C27" s="35"/>
      <c r="D27" s="35"/>
      <c r="E27" s="35"/>
      <c r="F27" s="35"/>
      <c r="G27" s="35"/>
      <c r="I27" s="55"/>
      <c r="J27" s="55"/>
      <c r="K27" s="55"/>
      <c r="L27" s="55"/>
      <c r="M27" s="55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2:26" ht="15" customHeight="1">
      <c r="B28" s="146" t="s">
        <v>51</v>
      </c>
      <c r="C28" s="146"/>
      <c r="D28" s="146"/>
      <c r="E28" s="146"/>
      <c r="F28" s="146"/>
      <c r="G28" s="146"/>
      <c r="I28" s="147" t="str">
        <f>IF(SUM(I21:M26)=0,"",SUM(I21:M26))</f>
        <v/>
      </c>
      <c r="J28" s="147"/>
      <c r="K28" s="147"/>
      <c r="L28" s="147"/>
      <c r="M28" s="147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spans="2:26" ht="2" customHeight="1">
      <c r="B29" s="36"/>
      <c r="C29" s="36"/>
      <c r="D29" s="36"/>
      <c r="E29" s="36"/>
      <c r="F29" s="36"/>
      <c r="G29" s="36"/>
      <c r="H29" s="15"/>
      <c r="I29" s="56"/>
      <c r="J29" s="56"/>
      <c r="K29" s="56"/>
      <c r="L29" s="56"/>
      <c r="M29" s="56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26" ht="5" customHeight="1">
      <c r="B30" s="35"/>
      <c r="C30" s="35"/>
      <c r="D30" s="35"/>
      <c r="E30" s="35"/>
      <c r="F30" s="35"/>
      <c r="G30" s="35"/>
      <c r="I30" s="55"/>
      <c r="J30" s="55"/>
      <c r="K30" s="55"/>
      <c r="L30" s="55"/>
      <c r="M30" s="55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2:26" ht="10.75" customHeight="1">
      <c r="B31" s="154" t="s">
        <v>52</v>
      </c>
      <c r="C31" s="154"/>
      <c r="D31" s="154"/>
      <c r="E31" s="154"/>
      <c r="F31" s="154"/>
      <c r="G31" s="154"/>
      <c r="I31" s="155"/>
      <c r="J31" s="155"/>
      <c r="K31" s="155"/>
      <c r="L31" s="155"/>
      <c r="M31" s="155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 spans="2:26" ht="10.75" customHeight="1">
      <c r="B32" s="151" t="s">
        <v>53</v>
      </c>
      <c r="C32" s="151"/>
      <c r="D32" s="151"/>
      <c r="E32" s="151"/>
      <c r="F32" s="151"/>
      <c r="G32" s="151"/>
      <c r="I32" s="150"/>
      <c r="J32" s="150"/>
      <c r="K32" s="150"/>
      <c r="L32" s="150"/>
      <c r="M32" s="150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 spans="2:26" ht="10.75" customHeight="1">
      <c r="B33" s="143" t="s">
        <v>54</v>
      </c>
      <c r="C33" s="143"/>
      <c r="D33" s="143"/>
      <c r="E33" s="143"/>
      <c r="F33" s="143"/>
      <c r="G33" s="143"/>
      <c r="I33" s="144"/>
      <c r="J33" s="144"/>
      <c r="K33" s="144"/>
      <c r="L33" s="144"/>
      <c r="M33" s="144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spans="2:26" ht="10.75" customHeight="1">
      <c r="B34" s="151" t="s">
        <v>55</v>
      </c>
      <c r="C34" s="151"/>
      <c r="D34" s="151"/>
      <c r="E34" s="151"/>
      <c r="F34" s="151"/>
      <c r="G34" s="151"/>
      <c r="I34" s="150"/>
      <c r="J34" s="150"/>
      <c r="K34" s="150"/>
      <c r="L34" s="150"/>
      <c r="M34" s="150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</row>
    <row r="35" spans="2:26" ht="10.75" customHeight="1">
      <c r="B35" s="143" t="s">
        <v>56</v>
      </c>
      <c r="C35" s="143"/>
      <c r="D35" s="143"/>
      <c r="E35" s="143"/>
      <c r="F35" s="143"/>
      <c r="G35" s="143"/>
      <c r="I35" s="144"/>
      <c r="J35" s="144"/>
      <c r="K35" s="144"/>
      <c r="L35" s="144"/>
      <c r="M35" s="144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spans="2:26" ht="10.75" customHeight="1">
      <c r="B36" s="151" t="s">
        <v>57</v>
      </c>
      <c r="C36" s="151"/>
      <c r="D36" s="151"/>
      <c r="E36" s="151"/>
      <c r="F36" s="151"/>
      <c r="G36" s="151"/>
      <c r="I36" s="150"/>
      <c r="J36" s="150"/>
      <c r="K36" s="150"/>
      <c r="L36" s="150"/>
      <c r="M36" s="150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 spans="2:26" ht="3" customHeight="1">
      <c r="B37" s="35"/>
      <c r="C37" s="35"/>
      <c r="D37" s="35"/>
      <c r="E37" s="35"/>
      <c r="F37" s="35"/>
      <c r="G37" s="35"/>
      <c r="I37" s="55"/>
      <c r="J37" s="55"/>
      <c r="K37" s="55"/>
      <c r="L37" s="55"/>
      <c r="M37" s="55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2:26" ht="15" customHeight="1">
      <c r="B38" s="146" t="s">
        <v>58</v>
      </c>
      <c r="C38" s="146"/>
      <c r="D38" s="146"/>
      <c r="E38" s="146"/>
      <c r="F38" s="146"/>
      <c r="G38" s="146"/>
      <c r="I38" s="147" t="str">
        <f>IF(SUM(I31:M36)=0,"",SUM(I31:M36))</f>
        <v/>
      </c>
      <c r="J38" s="147"/>
      <c r="K38" s="147"/>
      <c r="L38" s="147"/>
      <c r="M38" s="147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spans="2:26" ht="2" customHeight="1">
      <c r="B39" s="36"/>
      <c r="C39" s="36"/>
      <c r="D39" s="36"/>
      <c r="E39" s="36"/>
      <c r="F39" s="36"/>
      <c r="G39" s="36"/>
      <c r="H39" s="15"/>
      <c r="I39" s="56"/>
      <c r="J39" s="56"/>
      <c r="K39" s="56"/>
      <c r="L39" s="56"/>
      <c r="M39" s="56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2:26" ht="5" customHeight="1">
      <c r="B40" s="35"/>
      <c r="C40" s="35"/>
      <c r="D40" s="35"/>
      <c r="E40" s="35"/>
      <c r="F40" s="35"/>
      <c r="G40" s="35"/>
      <c r="I40" s="55"/>
      <c r="J40" s="55"/>
      <c r="K40" s="55"/>
      <c r="L40" s="55"/>
      <c r="M40" s="55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2:26" ht="10.75" customHeight="1">
      <c r="B41" s="143" t="s">
        <v>59</v>
      </c>
      <c r="C41" s="143"/>
      <c r="D41" s="143"/>
      <c r="E41" s="143"/>
      <c r="F41" s="143"/>
      <c r="G41" s="143"/>
      <c r="I41" s="155"/>
      <c r="J41" s="155"/>
      <c r="K41" s="155"/>
      <c r="L41" s="155"/>
      <c r="M41" s="155"/>
      <c r="O41" s="156" t="s">
        <v>90</v>
      </c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</row>
    <row r="42" spans="2:26" ht="10.75" customHeight="1">
      <c r="B42" s="151" t="s">
        <v>60</v>
      </c>
      <c r="C42" s="151"/>
      <c r="D42" s="151"/>
      <c r="E42" s="151"/>
      <c r="F42" s="151"/>
      <c r="G42" s="151"/>
      <c r="I42" s="150"/>
      <c r="J42" s="150"/>
      <c r="K42" s="150"/>
      <c r="L42" s="150"/>
      <c r="M42" s="150"/>
      <c r="O42" s="152" t="s">
        <v>91</v>
      </c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 spans="2:26" ht="10.75" customHeight="1">
      <c r="B43" s="143" t="s">
        <v>61</v>
      </c>
      <c r="C43" s="143"/>
      <c r="D43" s="143"/>
      <c r="E43" s="143"/>
      <c r="F43" s="143"/>
      <c r="G43" s="143"/>
      <c r="I43" s="144"/>
      <c r="J43" s="144"/>
      <c r="K43" s="144"/>
      <c r="L43" s="144"/>
      <c r="M43" s="144"/>
      <c r="O43" s="145" t="s">
        <v>92</v>
      </c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spans="2:26" ht="10.75" customHeight="1">
      <c r="B44" s="151" t="s">
        <v>62</v>
      </c>
      <c r="C44" s="151"/>
      <c r="D44" s="151"/>
      <c r="E44" s="151"/>
      <c r="F44" s="151"/>
      <c r="G44" s="151"/>
      <c r="I44" s="150"/>
      <c r="J44" s="150"/>
      <c r="K44" s="150"/>
      <c r="L44" s="150"/>
      <c r="M44" s="150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 spans="2:26" ht="3" customHeight="1">
      <c r="B45" s="35"/>
      <c r="C45" s="35"/>
      <c r="D45" s="35"/>
      <c r="E45" s="35"/>
      <c r="F45" s="35"/>
      <c r="G45" s="35"/>
      <c r="I45" s="55"/>
      <c r="J45" s="55"/>
      <c r="K45" s="55"/>
      <c r="L45" s="55"/>
      <c r="M45" s="55"/>
    </row>
    <row r="46" spans="2:26" ht="15" customHeight="1">
      <c r="B46" s="146" t="s">
        <v>63</v>
      </c>
      <c r="C46" s="146"/>
      <c r="D46" s="146"/>
      <c r="E46" s="146"/>
      <c r="F46" s="146"/>
      <c r="G46" s="146"/>
      <c r="I46" s="147" t="str">
        <f>IF(SUM(I41:M44)=0,"",SUM(I41:M44))</f>
        <v/>
      </c>
      <c r="J46" s="147"/>
      <c r="K46" s="147"/>
      <c r="L46" s="147"/>
      <c r="M46" s="147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 spans="2:26" ht="2" customHeight="1">
      <c r="B47" s="36"/>
      <c r="C47" s="36"/>
      <c r="D47" s="36"/>
      <c r="E47" s="36"/>
      <c r="F47" s="36"/>
      <c r="G47" s="36"/>
      <c r="H47" s="15"/>
      <c r="I47" s="56"/>
      <c r="J47" s="56"/>
      <c r="K47" s="56"/>
      <c r="L47" s="56"/>
      <c r="M47" s="56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2:26" ht="5" customHeight="1">
      <c r="B48" s="35"/>
      <c r="C48" s="35"/>
      <c r="D48" s="35"/>
      <c r="E48" s="35"/>
      <c r="F48" s="35"/>
      <c r="G48" s="35"/>
      <c r="I48" s="55"/>
      <c r="J48" s="55"/>
      <c r="K48" s="55"/>
      <c r="L48" s="55"/>
      <c r="M48" s="55"/>
    </row>
    <row r="49" spans="2:26" ht="10.75" customHeight="1">
      <c r="B49" s="154" t="s">
        <v>64</v>
      </c>
      <c r="C49" s="154"/>
      <c r="D49" s="154"/>
      <c r="E49" s="154"/>
      <c r="F49" s="154"/>
      <c r="G49" s="154"/>
      <c r="I49" s="155"/>
      <c r="J49" s="155"/>
      <c r="K49" s="155"/>
      <c r="L49" s="155"/>
      <c r="M49" s="155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 spans="2:26" ht="10.75" customHeight="1">
      <c r="B50" s="151" t="s">
        <v>65</v>
      </c>
      <c r="C50" s="151"/>
      <c r="D50" s="151"/>
      <c r="E50" s="151"/>
      <c r="F50" s="151"/>
      <c r="G50" s="151"/>
      <c r="I50" s="150"/>
      <c r="J50" s="150"/>
      <c r="K50" s="150"/>
      <c r="L50" s="150"/>
      <c r="M50" s="150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 spans="2:26" ht="10.75" customHeight="1">
      <c r="B51" s="143" t="s">
        <v>66</v>
      </c>
      <c r="C51" s="143"/>
      <c r="D51" s="143"/>
      <c r="E51" s="143"/>
      <c r="F51" s="143"/>
      <c r="G51" s="143"/>
      <c r="I51" s="144"/>
      <c r="J51" s="144"/>
      <c r="K51" s="144"/>
      <c r="L51" s="144"/>
      <c r="M51" s="144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spans="2:26" ht="10.75" customHeight="1">
      <c r="B52" s="151" t="s">
        <v>67</v>
      </c>
      <c r="C52" s="151"/>
      <c r="D52" s="151"/>
      <c r="E52" s="151"/>
      <c r="F52" s="151"/>
      <c r="G52" s="151"/>
      <c r="I52" s="150"/>
      <c r="J52" s="150"/>
      <c r="K52" s="150"/>
      <c r="L52" s="150"/>
      <c r="M52" s="150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spans="2:26" ht="10.75" customHeight="1">
      <c r="B53" s="143" t="s">
        <v>68</v>
      </c>
      <c r="C53" s="143"/>
      <c r="D53" s="143"/>
      <c r="E53" s="143"/>
      <c r="F53" s="143"/>
      <c r="G53" s="143"/>
      <c r="I53" s="144"/>
      <c r="J53" s="144"/>
      <c r="K53" s="144"/>
      <c r="L53" s="144"/>
      <c r="M53" s="144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spans="2:26" ht="3" customHeight="1">
      <c r="B54" s="35"/>
      <c r="C54" s="35"/>
      <c r="D54" s="35"/>
      <c r="E54" s="35"/>
      <c r="F54" s="35"/>
      <c r="G54" s="35"/>
      <c r="I54" s="55"/>
      <c r="J54" s="55"/>
      <c r="K54" s="55"/>
      <c r="L54" s="55"/>
      <c r="M54" s="55"/>
    </row>
    <row r="55" spans="2:26" ht="15" customHeight="1">
      <c r="B55" s="146" t="s">
        <v>69</v>
      </c>
      <c r="C55" s="146"/>
      <c r="D55" s="146"/>
      <c r="E55" s="146"/>
      <c r="F55" s="146"/>
      <c r="G55" s="146"/>
      <c r="I55" s="147" t="str">
        <f>IF(SUM(I49:M53)=0,"",SUM(I49:M53))</f>
        <v/>
      </c>
      <c r="J55" s="147"/>
      <c r="K55" s="147"/>
      <c r="L55" s="147"/>
      <c r="M55" s="147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 spans="2:26" ht="2" customHeight="1">
      <c r="B56" s="36"/>
      <c r="C56" s="36"/>
      <c r="D56" s="36"/>
      <c r="E56" s="36"/>
      <c r="F56" s="36"/>
      <c r="G56" s="36"/>
      <c r="H56" s="15"/>
      <c r="I56" s="56"/>
      <c r="J56" s="56"/>
      <c r="K56" s="56"/>
      <c r="L56" s="56"/>
      <c r="M56" s="56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2:26" ht="5" customHeight="1">
      <c r="B57" s="35"/>
      <c r="C57" s="35"/>
      <c r="D57" s="35"/>
      <c r="E57" s="35"/>
      <c r="F57" s="35"/>
      <c r="G57" s="35"/>
      <c r="I57" s="55"/>
      <c r="J57" s="55"/>
      <c r="K57" s="55"/>
      <c r="L57" s="55"/>
      <c r="M57" s="55"/>
    </row>
    <row r="58" spans="2:26" ht="10.75" customHeight="1">
      <c r="B58" s="154" t="s">
        <v>70</v>
      </c>
      <c r="C58" s="154"/>
      <c r="D58" s="154"/>
      <c r="E58" s="154"/>
      <c r="F58" s="154"/>
      <c r="G58" s="154"/>
      <c r="I58" s="155">
        <v>40400</v>
      </c>
      <c r="J58" s="155"/>
      <c r="K58" s="155"/>
      <c r="L58" s="155"/>
      <c r="M58" s="155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</row>
    <row r="59" spans="2:26" ht="10.75" customHeight="1">
      <c r="B59" s="151" t="s">
        <v>71</v>
      </c>
      <c r="C59" s="151"/>
      <c r="D59" s="151"/>
      <c r="E59" s="151"/>
      <c r="F59" s="151"/>
      <c r="G59" s="151"/>
      <c r="I59" s="150">
        <v>30000</v>
      </c>
      <c r="J59" s="150"/>
      <c r="K59" s="150"/>
      <c r="L59" s="150"/>
      <c r="M59" s="150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 spans="2:26" ht="10.75" customHeight="1">
      <c r="B60" s="143" t="s">
        <v>72</v>
      </c>
      <c r="C60" s="143"/>
      <c r="D60" s="143"/>
      <c r="E60" s="143"/>
      <c r="F60" s="143"/>
      <c r="G60" s="143"/>
      <c r="I60" s="144"/>
      <c r="J60" s="144"/>
      <c r="K60" s="144"/>
      <c r="L60" s="144"/>
      <c r="M60" s="144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spans="2:26" ht="10.75" customHeight="1">
      <c r="B61" s="151" t="s">
        <v>73</v>
      </c>
      <c r="C61" s="151"/>
      <c r="D61" s="151"/>
      <c r="E61" s="151"/>
      <c r="F61" s="151"/>
      <c r="G61" s="151"/>
      <c r="I61" s="150"/>
      <c r="J61" s="150"/>
      <c r="K61" s="150"/>
      <c r="L61" s="150"/>
      <c r="M61" s="150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 spans="2:26" ht="10.75" customHeight="1">
      <c r="B62" s="143" t="s">
        <v>74</v>
      </c>
      <c r="C62" s="143"/>
      <c r="D62" s="143"/>
      <c r="E62" s="143"/>
      <c r="F62" s="143"/>
      <c r="G62" s="143"/>
      <c r="I62" s="144"/>
      <c r="J62" s="144"/>
      <c r="K62" s="144"/>
      <c r="L62" s="144"/>
      <c r="M62" s="144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spans="2:26" ht="10.75" customHeight="1">
      <c r="B63" s="151" t="s">
        <v>75</v>
      </c>
      <c r="C63" s="151"/>
      <c r="D63" s="151"/>
      <c r="E63" s="151"/>
      <c r="F63" s="151"/>
      <c r="G63" s="151"/>
      <c r="I63" s="150"/>
      <c r="J63" s="150"/>
      <c r="K63" s="150"/>
      <c r="L63" s="150"/>
      <c r="M63" s="150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spans="2:26" ht="10.75" customHeight="1">
      <c r="B64" s="143"/>
      <c r="C64" s="143"/>
      <c r="D64" s="143"/>
      <c r="E64" s="143"/>
      <c r="F64" s="143"/>
      <c r="G64" s="143"/>
      <c r="I64" s="157"/>
      <c r="J64" s="157"/>
      <c r="K64" s="157"/>
      <c r="L64" s="157"/>
      <c r="M64" s="157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spans="2:26" ht="10.75" customHeight="1">
      <c r="B65" s="151"/>
      <c r="C65" s="151"/>
      <c r="D65" s="151"/>
      <c r="E65" s="151"/>
      <c r="F65" s="151"/>
      <c r="G65" s="151"/>
      <c r="I65" s="153"/>
      <c r="J65" s="153"/>
      <c r="K65" s="153"/>
      <c r="L65" s="153"/>
      <c r="M65" s="153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spans="2:26" ht="3" customHeight="1">
      <c r="B66" s="35"/>
      <c r="C66" s="35"/>
      <c r="D66" s="35"/>
      <c r="E66" s="35"/>
      <c r="F66" s="35"/>
      <c r="G66" s="35"/>
      <c r="I66" s="55"/>
      <c r="J66" s="55"/>
      <c r="K66" s="55"/>
      <c r="L66" s="55"/>
      <c r="M66" s="55"/>
    </row>
    <row r="67" spans="2:26" ht="15" customHeight="1">
      <c r="B67" s="146" t="s">
        <v>76</v>
      </c>
      <c r="C67" s="146"/>
      <c r="D67" s="146"/>
      <c r="E67" s="146"/>
      <c r="F67" s="146"/>
      <c r="G67" s="146"/>
      <c r="I67" s="147">
        <f>IF(SUM(I58:M65)=0,"",SUM(I58:M65))</f>
        <v>70400</v>
      </c>
      <c r="J67" s="147"/>
      <c r="K67" s="147"/>
      <c r="L67" s="147"/>
      <c r="M67" s="147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 spans="2:26" ht="2" customHeight="1">
      <c r="B68" s="36"/>
      <c r="C68" s="36"/>
      <c r="D68" s="36"/>
      <c r="E68" s="36"/>
      <c r="F68" s="36"/>
      <c r="G68" s="36"/>
      <c r="H68" s="15"/>
      <c r="I68" s="56"/>
      <c r="J68" s="56"/>
      <c r="K68" s="56"/>
      <c r="L68" s="56"/>
      <c r="M68" s="56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2:26" ht="5" customHeight="1">
      <c r="B69" s="35"/>
      <c r="C69" s="35"/>
      <c r="D69" s="35"/>
      <c r="E69" s="35"/>
      <c r="F69" s="35"/>
      <c r="G69" s="35"/>
      <c r="I69" s="55"/>
      <c r="J69" s="55"/>
      <c r="K69" s="55"/>
      <c r="L69" s="55"/>
      <c r="M69" s="55"/>
    </row>
    <row r="70" spans="2:26" ht="10.75" customHeight="1">
      <c r="B70" s="154" t="s">
        <v>77</v>
      </c>
      <c r="C70" s="154"/>
      <c r="D70" s="154"/>
      <c r="E70" s="154"/>
      <c r="F70" s="154"/>
      <c r="G70" s="154"/>
      <c r="I70" s="155"/>
      <c r="J70" s="155"/>
      <c r="K70" s="155"/>
      <c r="L70" s="155"/>
      <c r="M70" s="155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 spans="2:26" ht="10.75" customHeight="1">
      <c r="B71" s="151" t="s">
        <v>78</v>
      </c>
      <c r="C71" s="151"/>
      <c r="D71" s="151"/>
      <c r="E71" s="151"/>
      <c r="F71" s="151"/>
      <c r="G71" s="151"/>
      <c r="I71" s="150"/>
      <c r="J71" s="150"/>
      <c r="K71" s="150"/>
      <c r="L71" s="150"/>
      <c r="M71" s="150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spans="2:26" ht="10.75" customHeight="1">
      <c r="B72" s="143" t="s">
        <v>79</v>
      </c>
      <c r="C72" s="143"/>
      <c r="D72" s="143"/>
      <c r="E72" s="143"/>
      <c r="F72" s="143"/>
      <c r="G72" s="143"/>
      <c r="I72" s="144"/>
      <c r="J72" s="144"/>
      <c r="K72" s="144"/>
      <c r="L72" s="144"/>
      <c r="M72" s="144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spans="2:26" ht="10.75" customHeight="1">
      <c r="B73" s="151" t="s">
        <v>80</v>
      </c>
      <c r="C73" s="151"/>
      <c r="D73" s="151"/>
      <c r="E73" s="151"/>
      <c r="F73" s="151"/>
      <c r="G73" s="151"/>
      <c r="I73" s="150"/>
      <c r="J73" s="150"/>
      <c r="K73" s="150"/>
      <c r="L73" s="150"/>
      <c r="M73" s="150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spans="2:26" ht="10.75" customHeight="1">
      <c r="B74" s="143"/>
      <c r="C74" s="143"/>
      <c r="D74" s="143"/>
      <c r="E74" s="143"/>
      <c r="F74" s="143"/>
      <c r="G74" s="143"/>
      <c r="I74" s="144"/>
      <c r="J74" s="144"/>
      <c r="K74" s="144"/>
      <c r="L74" s="144"/>
      <c r="M74" s="144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spans="2:26" ht="10.75" customHeight="1">
      <c r="B75" s="151"/>
      <c r="C75" s="151"/>
      <c r="D75" s="151"/>
      <c r="E75" s="151"/>
      <c r="F75" s="151"/>
      <c r="G75" s="151"/>
      <c r="I75" s="150"/>
      <c r="J75" s="150"/>
      <c r="K75" s="150"/>
      <c r="L75" s="150"/>
      <c r="M75" s="150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spans="2:26" ht="3" customHeight="1">
      <c r="B76" s="35"/>
      <c r="C76" s="35"/>
      <c r="D76" s="35"/>
      <c r="E76" s="35"/>
      <c r="F76" s="35"/>
      <c r="G76" s="35"/>
      <c r="I76" s="55"/>
      <c r="J76" s="55"/>
      <c r="K76" s="55"/>
      <c r="L76" s="55"/>
      <c r="M76" s="55"/>
    </row>
    <row r="77" spans="2:26" ht="15" customHeight="1">
      <c r="B77" s="146" t="s">
        <v>82</v>
      </c>
      <c r="C77" s="146"/>
      <c r="D77" s="146"/>
      <c r="E77" s="146"/>
      <c r="F77" s="146"/>
      <c r="G77" s="146"/>
      <c r="I77" s="147" t="str">
        <f>IF(SUM(I70:M75)=0,"",SUM(I70:M75))</f>
        <v/>
      </c>
      <c r="J77" s="147"/>
      <c r="K77" s="147"/>
      <c r="L77" s="147"/>
      <c r="M77" s="147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 spans="2:26" ht="2" customHeight="1">
      <c r="B78" s="36"/>
      <c r="C78" s="36"/>
      <c r="D78" s="36"/>
      <c r="E78" s="36"/>
      <c r="F78" s="36"/>
      <c r="G78" s="36"/>
      <c r="H78" s="15"/>
      <c r="I78" s="57"/>
      <c r="J78" s="57"/>
      <c r="K78" s="57"/>
      <c r="L78" s="57"/>
      <c r="M78" s="57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2:26" ht="11" customHeight="1"/>
    <row r="80" spans="2:26" ht="2" customHeight="1">
      <c r="B80" s="35"/>
      <c r="C80" s="35"/>
      <c r="D80" s="35"/>
      <c r="E80" s="35"/>
      <c r="F80" s="35"/>
      <c r="K80" s="58"/>
      <c r="L80" s="59"/>
      <c r="M80" s="5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2:26" ht="10" customHeight="1">
      <c r="K81" s="159" t="s">
        <v>81</v>
      </c>
      <c r="L81" s="159"/>
      <c r="M81" s="159"/>
      <c r="N81" s="159"/>
      <c r="O81" s="159"/>
      <c r="P81" s="159"/>
      <c r="Q81" s="159"/>
      <c r="R81" s="10"/>
      <c r="S81" s="162">
        <f>IF(SUM(I18,I28,I38,I46,I55,I67,I77)=0,"",SUM(I18,I28,I38,I46,I55,I67,I77))</f>
        <v>70400</v>
      </c>
      <c r="T81" s="162"/>
      <c r="U81" s="162"/>
      <c r="V81" s="162"/>
      <c r="W81" s="162"/>
      <c r="X81" s="162"/>
      <c r="Y81" s="162"/>
      <c r="Z81" s="162"/>
    </row>
    <row r="82" spans="2:26" ht="10" customHeight="1">
      <c r="K82" s="160"/>
      <c r="L82" s="160"/>
      <c r="M82" s="160"/>
      <c r="N82" s="160"/>
      <c r="O82" s="160"/>
      <c r="P82" s="160"/>
      <c r="Q82" s="160"/>
      <c r="S82" s="163"/>
      <c r="T82" s="163"/>
      <c r="U82" s="163"/>
      <c r="V82" s="163"/>
      <c r="W82" s="163"/>
      <c r="X82" s="163"/>
      <c r="Y82" s="163"/>
      <c r="Z82" s="163"/>
    </row>
    <row r="83" spans="2:26" ht="10" customHeight="1">
      <c r="K83" s="161"/>
      <c r="L83" s="161"/>
      <c r="M83" s="161"/>
      <c r="N83" s="161"/>
      <c r="O83" s="161"/>
      <c r="P83" s="161"/>
      <c r="Q83" s="161"/>
      <c r="R83" s="15"/>
      <c r="S83" s="164"/>
      <c r="T83" s="164"/>
      <c r="U83" s="164"/>
      <c r="V83" s="164"/>
      <c r="W83" s="164"/>
      <c r="X83" s="164"/>
      <c r="Y83" s="164"/>
      <c r="Z83" s="164"/>
    </row>
    <row r="84" spans="2:26" ht="2" customHeight="1">
      <c r="B84" s="35"/>
      <c r="C84" s="35"/>
      <c r="D84" s="35"/>
      <c r="E84" s="35"/>
      <c r="F84" s="35"/>
    </row>
    <row r="85" spans="2:26" ht="11" customHeight="1"/>
    <row r="86" spans="2:26" ht="11" customHeight="1"/>
    <row r="87" spans="2:26" ht="11" customHeight="1"/>
    <row r="88" spans="2:26" ht="11" customHeight="1"/>
    <row r="89" spans="2:26" ht="11" customHeight="1"/>
    <row r="90" spans="2:26" ht="11" customHeight="1"/>
    <row r="91" spans="2:26" ht="11" customHeight="1"/>
    <row r="92" spans="2:26" ht="11" customHeight="1"/>
    <row r="93" spans="2:26" ht="11" customHeight="1"/>
    <row r="94" spans="2:26" ht="11" customHeight="1"/>
    <row r="95" spans="2:26" ht="11" customHeight="1"/>
    <row r="96" spans="2:26" ht="11" customHeight="1"/>
    <row r="97" ht="11" customHeight="1"/>
    <row r="98" ht="11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4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3" customHeight="1"/>
    <row r="173" ht="13" customHeight="1"/>
    <row r="174" ht="13" customHeight="1"/>
    <row r="175" ht="13" customHeight="1"/>
    <row r="176" ht="13" customHeight="1"/>
  </sheetData>
  <mergeCells count="152">
    <mergeCell ref="K81:Q83"/>
    <mergeCell ref="S81:Z83"/>
    <mergeCell ref="B5:E5"/>
    <mergeCell ref="B9:G9"/>
    <mergeCell ref="O9:Z9"/>
    <mergeCell ref="I9:M9"/>
    <mergeCell ref="B24:G24"/>
    <mergeCell ref="I24:M24"/>
    <mergeCell ref="O24:Z24"/>
    <mergeCell ref="B13:G13"/>
    <mergeCell ref="I13:M13"/>
    <mergeCell ref="O13:Z13"/>
    <mergeCell ref="B14:G14"/>
    <mergeCell ref="I14:M14"/>
    <mergeCell ref="O14:Z14"/>
    <mergeCell ref="B11:G11"/>
    <mergeCell ref="I11:M11"/>
    <mergeCell ref="O11:Z11"/>
    <mergeCell ref="B12:G12"/>
    <mergeCell ref="I12:M12"/>
    <mergeCell ref="O12:Z12"/>
    <mergeCell ref="B18:G18"/>
    <mergeCell ref="I18:M18"/>
    <mergeCell ref="O18:Z18"/>
    <mergeCell ref="B21:G21"/>
    <mergeCell ref="I21:M21"/>
    <mergeCell ref="O21:Z21"/>
    <mergeCell ref="B15:G15"/>
    <mergeCell ref="I15:M15"/>
    <mergeCell ref="O15:Z15"/>
    <mergeCell ref="B16:G16"/>
    <mergeCell ref="I16:M16"/>
    <mergeCell ref="O16:Z16"/>
    <mergeCell ref="B25:G25"/>
    <mergeCell ref="I25:M25"/>
    <mergeCell ref="O25:Z25"/>
    <mergeCell ref="B26:G26"/>
    <mergeCell ref="I26:M26"/>
    <mergeCell ref="O26:Z26"/>
    <mergeCell ref="B22:G22"/>
    <mergeCell ref="I22:M22"/>
    <mergeCell ref="O22:Z22"/>
    <mergeCell ref="B23:G23"/>
    <mergeCell ref="I23:M23"/>
    <mergeCell ref="O23:Z23"/>
    <mergeCell ref="B33:G33"/>
    <mergeCell ref="I33:M33"/>
    <mergeCell ref="O33:Z33"/>
    <mergeCell ref="B34:G34"/>
    <mergeCell ref="I34:M34"/>
    <mergeCell ref="O34:Z34"/>
    <mergeCell ref="B31:G31"/>
    <mergeCell ref="I31:M31"/>
    <mergeCell ref="O31:Z31"/>
    <mergeCell ref="B32:G32"/>
    <mergeCell ref="I32:M32"/>
    <mergeCell ref="O32:Z32"/>
    <mergeCell ref="B41:G41"/>
    <mergeCell ref="I41:M41"/>
    <mergeCell ref="O41:Z41"/>
    <mergeCell ref="B42:G42"/>
    <mergeCell ref="I42:M42"/>
    <mergeCell ref="O42:Z42"/>
    <mergeCell ref="B35:G35"/>
    <mergeCell ref="I35:M35"/>
    <mergeCell ref="O35:Z35"/>
    <mergeCell ref="B36:G36"/>
    <mergeCell ref="I36:M36"/>
    <mergeCell ref="O36:Z36"/>
    <mergeCell ref="B49:G49"/>
    <mergeCell ref="I49:M49"/>
    <mergeCell ref="O49:Z49"/>
    <mergeCell ref="B43:G43"/>
    <mergeCell ref="I43:M43"/>
    <mergeCell ref="O43:Z43"/>
    <mergeCell ref="B44:G44"/>
    <mergeCell ref="I44:M44"/>
    <mergeCell ref="O44:Z44"/>
    <mergeCell ref="B52:G52"/>
    <mergeCell ref="I52:M52"/>
    <mergeCell ref="O52:Z52"/>
    <mergeCell ref="B53:G53"/>
    <mergeCell ref="I53:M53"/>
    <mergeCell ref="O53:Z53"/>
    <mergeCell ref="B50:G50"/>
    <mergeCell ref="I50:M50"/>
    <mergeCell ref="O50:Z50"/>
    <mergeCell ref="B51:G51"/>
    <mergeCell ref="I51:M51"/>
    <mergeCell ref="O51:Z51"/>
    <mergeCell ref="I59:M59"/>
    <mergeCell ref="O59:Z59"/>
    <mergeCell ref="B59:G59"/>
    <mergeCell ref="I60:M60"/>
    <mergeCell ref="O60:Z60"/>
    <mergeCell ref="B58:G58"/>
    <mergeCell ref="I58:M58"/>
    <mergeCell ref="O58:Z58"/>
    <mergeCell ref="B60:G60"/>
    <mergeCell ref="B63:G63"/>
    <mergeCell ref="I63:M63"/>
    <mergeCell ref="O63:Z63"/>
    <mergeCell ref="B64:G64"/>
    <mergeCell ref="I64:M64"/>
    <mergeCell ref="O64:Z64"/>
    <mergeCell ref="B61:G61"/>
    <mergeCell ref="I61:M61"/>
    <mergeCell ref="O61:Z61"/>
    <mergeCell ref="B62:G62"/>
    <mergeCell ref="I62:M62"/>
    <mergeCell ref="O62:Z62"/>
    <mergeCell ref="I74:M74"/>
    <mergeCell ref="O75:Z75"/>
    <mergeCell ref="B73:G73"/>
    <mergeCell ref="I73:M73"/>
    <mergeCell ref="O73:Z73"/>
    <mergeCell ref="B71:G71"/>
    <mergeCell ref="I71:M71"/>
    <mergeCell ref="O71:Z71"/>
    <mergeCell ref="B65:G65"/>
    <mergeCell ref="I65:M65"/>
    <mergeCell ref="O65:Z65"/>
    <mergeCell ref="B70:G70"/>
    <mergeCell ref="I70:M70"/>
    <mergeCell ref="O70:Z70"/>
    <mergeCell ref="B67:G67"/>
    <mergeCell ref="I67:M67"/>
    <mergeCell ref="O67:Z67"/>
    <mergeCell ref="V2:Z2"/>
    <mergeCell ref="F5:Z5"/>
    <mergeCell ref="B72:G72"/>
    <mergeCell ref="I72:M72"/>
    <mergeCell ref="O72:Z72"/>
    <mergeCell ref="B77:G77"/>
    <mergeCell ref="I77:M77"/>
    <mergeCell ref="O77:Z77"/>
    <mergeCell ref="B46:G46"/>
    <mergeCell ref="I46:M46"/>
    <mergeCell ref="O46:Z46"/>
    <mergeCell ref="B55:G55"/>
    <mergeCell ref="I55:M55"/>
    <mergeCell ref="O55:Z55"/>
    <mergeCell ref="B28:G28"/>
    <mergeCell ref="I28:M28"/>
    <mergeCell ref="O28:Z28"/>
    <mergeCell ref="B38:G38"/>
    <mergeCell ref="I38:M38"/>
    <mergeCell ref="O38:Z38"/>
    <mergeCell ref="B74:G74"/>
    <mergeCell ref="O74:Z74"/>
    <mergeCell ref="I75:M75"/>
    <mergeCell ref="B75:G75"/>
  </mergeCells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7AFE-6AC7-E14A-8593-BA8A4F2D6519}">
  <dimension ref="B1:AB125"/>
  <sheetViews>
    <sheetView topLeftCell="A13" zoomScaleNormal="100" workbookViewId="0">
      <selection activeCell="K62" sqref="K62"/>
    </sheetView>
  </sheetViews>
  <sheetFormatPr baseColWidth="10" defaultColWidth="11.5703125" defaultRowHeight="20"/>
  <cols>
    <col min="1" max="8" width="2.7109375" customWidth="1"/>
    <col min="9" max="9" width="0.85546875" customWidth="1"/>
    <col min="10" max="11" width="2.7109375" customWidth="1"/>
    <col min="12" max="12" width="0.85546875" customWidth="1"/>
    <col min="13" max="18" width="2.7109375" customWidth="1"/>
    <col min="19" max="19" width="0.85546875" customWidth="1"/>
    <col min="20" max="38" width="2.7109375" customWidth="1"/>
  </cols>
  <sheetData>
    <row r="1" spans="2:28" ht="17" customHeight="1"/>
    <row r="2" spans="2:28" ht="11" customHeight="1">
      <c r="B2" s="32" t="s">
        <v>83</v>
      </c>
    </row>
    <row r="3" spans="2:28" ht="10" customHeight="1"/>
    <row r="4" spans="2:28" ht="20" customHeight="1">
      <c r="B4" s="165" t="s">
        <v>93</v>
      </c>
      <c r="C4" s="165"/>
      <c r="D4" s="165"/>
      <c r="E4" s="165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</row>
    <row r="5" spans="2:28" ht="8" customHeight="1"/>
    <row r="6" spans="2:28" ht="11" customHeight="1">
      <c r="B6" s="166" t="s">
        <v>41</v>
      </c>
      <c r="C6" s="166"/>
      <c r="D6" s="166"/>
      <c r="E6" s="166"/>
      <c r="F6" s="166"/>
      <c r="G6" s="166"/>
      <c r="H6" s="166"/>
      <c r="I6" s="166"/>
      <c r="J6" s="166"/>
      <c r="K6" s="166"/>
      <c r="L6" s="8"/>
      <c r="M6" s="166" t="s">
        <v>122</v>
      </c>
      <c r="N6" s="166"/>
      <c r="O6" s="166"/>
      <c r="P6" s="166"/>
      <c r="Q6" s="166"/>
      <c r="R6" s="166"/>
      <c r="S6" s="8"/>
      <c r="T6" s="166" t="s">
        <v>21</v>
      </c>
      <c r="U6" s="166"/>
      <c r="V6" s="166"/>
      <c r="W6" s="166"/>
      <c r="X6" s="166"/>
      <c r="Y6" s="166"/>
      <c r="Z6" s="166"/>
      <c r="AA6" s="166"/>
      <c r="AB6" s="20"/>
    </row>
    <row r="7" spans="2:28" ht="3" customHeight="1"/>
    <row r="8" spans="2:28" ht="15" customHeight="1">
      <c r="B8" s="151" t="s">
        <v>94</v>
      </c>
      <c r="C8" s="151"/>
      <c r="D8" s="151"/>
      <c r="E8" s="151"/>
      <c r="F8" s="151"/>
      <c r="G8" s="151"/>
      <c r="H8" s="151"/>
      <c r="I8" s="151"/>
      <c r="J8" s="151"/>
      <c r="K8" s="151"/>
      <c r="L8" s="35"/>
      <c r="M8" s="198">
        <f>建築にかかわる費用!$S$81</f>
        <v>70400</v>
      </c>
      <c r="N8" s="198"/>
      <c r="O8" s="198"/>
      <c r="P8" s="198"/>
      <c r="Q8" s="198"/>
      <c r="R8" s="20" t="s">
        <v>119</v>
      </c>
      <c r="T8" s="133"/>
      <c r="U8" s="133"/>
      <c r="V8" s="133"/>
      <c r="W8" s="133"/>
      <c r="X8" s="133"/>
      <c r="Y8" s="133"/>
      <c r="Z8" s="133"/>
      <c r="AA8" s="133"/>
      <c r="AB8" s="22"/>
    </row>
    <row r="9" spans="2:28" ht="15" customHeight="1">
      <c r="B9" s="143" t="s">
        <v>95</v>
      </c>
      <c r="C9" s="143"/>
      <c r="D9" s="143"/>
      <c r="E9" s="143"/>
      <c r="F9" s="143"/>
      <c r="G9" s="143"/>
      <c r="H9" s="143"/>
      <c r="I9" s="143"/>
      <c r="J9" s="143"/>
      <c r="K9" s="143"/>
      <c r="L9" s="35"/>
      <c r="M9" s="196"/>
      <c r="N9" s="196"/>
      <c r="O9" s="196"/>
      <c r="P9" s="196"/>
      <c r="Q9" s="196"/>
      <c r="R9" s="44" t="s">
        <v>119</v>
      </c>
      <c r="T9" s="110"/>
      <c r="U9" s="110"/>
      <c r="V9" s="110"/>
      <c r="W9" s="110"/>
      <c r="X9" s="110"/>
      <c r="Y9" s="110"/>
      <c r="Z9" s="110"/>
      <c r="AA9" s="110"/>
      <c r="AB9" s="22"/>
    </row>
    <row r="10" spans="2:28" ht="15" customHeight="1">
      <c r="B10" s="151" t="s">
        <v>96</v>
      </c>
      <c r="C10" s="151"/>
      <c r="D10" s="151"/>
      <c r="E10" s="151"/>
      <c r="F10" s="151"/>
      <c r="G10" s="151"/>
      <c r="H10" s="151"/>
      <c r="I10" s="151"/>
      <c r="J10" s="151"/>
      <c r="K10" s="151"/>
      <c r="L10" s="35"/>
      <c r="M10" s="198">
        <f>M8-M9</f>
        <v>70400</v>
      </c>
      <c r="N10" s="198"/>
      <c r="O10" s="198"/>
      <c r="P10" s="198"/>
      <c r="Q10" s="198"/>
      <c r="R10" s="20" t="s">
        <v>119</v>
      </c>
      <c r="T10" s="133"/>
      <c r="U10" s="133"/>
      <c r="V10" s="133"/>
      <c r="W10" s="133"/>
      <c r="X10" s="133"/>
      <c r="Y10" s="133"/>
      <c r="Z10" s="133"/>
      <c r="AA10" s="133"/>
      <c r="AB10" s="22"/>
    </row>
    <row r="11" spans="2:28" ht="15" customHeight="1">
      <c r="B11" s="143" t="s">
        <v>97</v>
      </c>
      <c r="C11" s="143"/>
      <c r="D11" s="143"/>
      <c r="E11" s="143"/>
      <c r="F11" s="143"/>
      <c r="G11" s="143"/>
      <c r="H11" s="143"/>
      <c r="I11" s="143"/>
      <c r="J11" s="143"/>
      <c r="K11" s="143"/>
      <c r="L11" s="35"/>
      <c r="M11" s="194"/>
      <c r="N11" s="194"/>
      <c r="O11" s="194"/>
      <c r="P11" s="194"/>
      <c r="Q11" s="194"/>
      <c r="R11" s="44" t="s">
        <v>120</v>
      </c>
      <c r="T11" s="110"/>
      <c r="U11" s="110"/>
      <c r="V11" s="110"/>
      <c r="W11" s="110"/>
      <c r="X11" s="110"/>
      <c r="Y11" s="110"/>
      <c r="Z11" s="110"/>
      <c r="AA11" s="110"/>
      <c r="AB11" s="22"/>
    </row>
    <row r="12" spans="2:28" ht="15" customHeight="1">
      <c r="B12" s="151" t="s">
        <v>98</v>
      </c>
      <c r="C12" s="151"/>
      <c r="D12" s="151"/>
      <c r="E12" s="151"/>
      <c r="F12" s="151"/>
      <c r="G12" s="151"/>
      <c r="H12" s="151"/>
      <c r="I12" s="151"/>
      <c r="J12" s="151"/>
      <c r="K12" s="151"/>
      <c r="L12" s="35"/>
      <c r="M12" s="195"/>
      <c r="N12" s="195"/>
      <c r="O12" s="195"/>
      <c r="P12" s="195"/>
      <c r="Q12" s="195"/>
      <c r="R12" s="20" t="s">
        <v>121</v>
      </c>
      <c r="T12" s="133"/>
      <c r="U12" s="133"/>
      <c r="V12" s="133"/>
      <c r="W12" s="133"/>
      <c r="X12" s="133"/>
      <c r="Y12" s="133"/>
      <c r="Z12" s="133"/>
      <c r="AA12" s="133"/>
      <c r="AB12" s="22"/>
    </row>
    <row r="13" spans="2:28" ht="15" customHeight="1">
      <c r="B13" s="143" t="s">
        <v>99</v>
      </c>
      <c r="C13" s="143"/>
      <c r="D13" s="143"/>
      <c r="E13" s="143"/>
      <c r="F13" s="143"/>
      <c r="G13" s="143"/>
      <c r="H13" s="143"/>
      <c r="I13" s="143"/>
      <c r="J13" s="143"/>
      <c r="K13" s="143"/>
      <c r="L13" s="35"/>
      <c r="M13" s="196" t="str">
        <f>IFERROR(PMT(M12/100/12, M11*12, -M10),"")</f>
        <v/>
      </c>
      <c r="N13" s="196"/>
      <c r="O13" s="196"/>
      <c r="P13" s="196"/>
      <c r="Q13" s="196"/>
      <c r="R13" s="44" t="s">
        <v>119</v>
      </c>
      <c r="T13" s="143" t="s">
        <v>123</v>
      </c>
      <c r="U13" s="143"/>
      <c r="V13" s="143"/>
      <c r="W13" s="143"/>
      <c r="X13" s="143"/>
      <c r="Y13" s="143"/>
      <c r="Z13" s="143"/>
      <c r="AA13" s="143"/>
      <c r="AB13" s="22"/>
    </row>
    <row r="14" spans="2:28" ht="3" customHeight="1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spans="2:28" ht="18" customHeight="1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spans="2:28" ht="18" customHeight="1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spans="2:28" ht="15" customHeight="1">
      <c r="B17" s="1" t="s">
        <v>110</v>
      </c>
    </row>
    <row r="18" spans="2:28" ht="3" customHeight="1" thickBot="1"/>
    <row r="19" spans="2:28" ht="11" customHeight="1">
      <c r="B19" s="189" t="s">
        <v>100</v>
      </c>
      <c r="C19" s="190"/>
      <c r="D19" s="190"/>
      <c r="E19" s="190" t="s">
        <v>101</v>
      </c>
      <c r="F19" s="190"/>
      <c r="G19" s="190"/>
      <c r="H19" s="190" t="s">
        <v>102</v>
      </c>
      <c r="I19" s="190"/>
      <c r="J19" s="190"/>
      <c r="K19" s="190"/>
      <c r="L19" s="190" t="s">
        <v>103</v>
      </c>
      <c r="M19" s="190"/>
      <c r="N19" s="190"/>
      <c r="O19" s="190"/>
      <c r="P19" s="190" t="s">
        <v>104</v>
      </c>
      <c r="Q19" s="190"/>
      <c r="R19" s="190"/>
      <c r="S19" s="190" t="s">
        <v>105</v>
      </c>
      <c r="T19" s="190"/>
      <c r="U19" s="190"/>
      <c r="V19" s="190"/>
      <c r="W19" s="190" t="s">
        <v>21</v>
      </c>
      <c r="X19" s="190"/>
      <c r="Y19" s="190"/>
      <c r="Z19" s="190"/>
      <c r="AA19" s="193"/>
    </row>
    <row r="20" spans="2:28" ht="15" customHeight="1">
      <c r="B20" s="176" t="s">
        <v>106</v>
      </c>
      <c r="C20" s="177"/>
      <c r="D20" s="177"/>
      <c r="E20" s="178">
        <v>1</v>
      </c>
      <c r="F20" s="179"/>
      <c r="G20" s="179"/>
      <c r="H20" s="180"/>
      <c r="I20" s="181"/>
      <c r="J20" s="188"/>
      <c r="K20" s="61" t="s">
        <v>124</v>
      </c>
      <c r="L20" s="180">
        <f>H20*270/1000</f>
        <v>0</v>
      </c>
      <c r="M20" s="181"/>
      <c r="N20" s="181"/>
      <c r="O20" s="60" t="s">
        <v>125</v>
      </c>
      <c r="P20" s="180">
        <f>L20*1300</f>
        <v>0</v>
      </c>
      <c r="Q20" s="181"/>
      <c r="R20" s="60" t="s">
        <v>125</v>
      </c>
      <c r="S20" s="180">
        <f>P20*27</f>
        <v>0</v>
      </c>
      <c r="T20" s="181"/>
      <c r="U20" s="181"/>
      <c r="V20" s="45" t="s">
        <v>119</v>
      </c>
      <c r="W20" s="191"/>
      <c r="X20" s="191"/>
      <c r="Y20" s="191"/>
      <c r="Z20" s="191"/>
      <c r="AA20" s="192"/>
    </row>
    <row r="21" spans="2:28" ht="15" customHeight="1">
      <c r="B21" s="176" t="s">
        <v>107</v>
      </c>
      <c r="C21" s="177"/>
      <c r="D21" s="177"/>
      <c r="E21" s="178">
        <v>0.85</v>
      </c>
      <c r="F21" s="179"/>
      <c r="G21" s="179"/>
      <c r="H21" s="180"/>
      <c r="I21" s="181"/>
      <c r="J21" s="188"/>
      <c r="K21" s="61" t="s">
        <v>124</v>
      </c>
      <c r="L21" s="180">
        <f t="shared" ref="L21:L22" si="0">H21*270/1000</f>
        <v>0</v>
      </c>
      <c r="M21" s="181"/>
      <c r="N21" s="181"/>
      <c r="O21" s="60" t="s">
        <v>125</v>
      </c>
      <c r="P21" s="180">
        <f t="shared" ref="P21:P22" si="1">L21*1300</f>
        <v>0</v>
      </c>
      <c r="Q21" s="181"/>
      <c r="R21" s="60" t="s">
        <v>125</v>
      </c>
      <c r="S21" s="180">
        <f t="shared" ref="S21:S22" si="2">P21*27</f>
        <v>0</v>
      </c>
      <c r="T21" s="181"/>
      <c r="U21" s="181"/>
      <c r="V21" s="45" t="s">
        <v>119</v>
      </c>
      <c r="W21" s="191"/>
      <c r="X21" s="191"/>
      <c r="Y21" s="191"/>
      <c r="Z21" s="191"/>
      <c r="AA21" s="192"/>
    </row>
    <row r="22" spans="2:28" ht="15" customHeight="1" thickBot="1">
      <c r="B22" s="169" t="s">
        <v>108</v>
      </c>
      <c r="C22" s="170"/>
      <c r="D22" s="170"/>
      <c r="E22" s="171">
        <v>0.8</v>
      </c>
      <c r="F22" s="172"/>
      <c r="G22" s="172"/>
      <c r="H22" s="199"/>
      <c r="I22" s="200"/>
      <c r="J22" s="201"/>
      <c r="K22" s="62" t="s">
        <v>124</v>
      </c>
      <c r="L22" s="180">
        <f t="shared" si="0"/>
        <v>0</v>
      </c>
      <c r="M22" s="181"/>
      <c r="N22" s="181"/>
      <c r="O22" s="63" t="s">
        <v>125</v>
      </c>
      <c r="P22" s="180">
        <f t="shared" si="1"/>
        <v>0</v>
      </c>
      <c r="Q22" s="181"/>
      <c r="R22" s="63" t="s">
        <v>125</v>
      </c>
      <c r="S22" s="186">
        <f t="shared" si="2"/>
        <v>0</v>
      </c>
      <c r="T22" s="187"/>
      <c r="U22" s="187"/>
      <c r="V22" s="46" t="s">
        <v>119</v>
      </c>
      <c r="W22" s="173"/>
      <c r="X22" s="174"/>
      <c r="Y22" s="174"/>
      <c r="Z22" s="174"/>
      <c r="AA22" s="175"/>
    </row>
    <row r="23" spans="2:28" ht="9" customHeight="1"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</row>
    <row r="24" spans="2:28" ht="11" customHeight="1">
      <c r="B24" s="166" t="s">
        <v>41</v>
      </c>
      <c r="C24" s="166"/>
      <c r="D24" s="166"/>
      <c r="E24" s="166"/>
      <c r="F24" s="166"/>
      <c r="G24" s="166"/>
      <c r="H24" s="166"/>
      <c r="I24" s="166"/>
      <c r="J24" s="166"/>
      <c r="K24" s="166"/>
      <c r="L24" s="8"/>
      <c r="M24" s="166" t="s">
        <v>31</v>
      </c>
      <c r="N24" s="166"/>
      <c r="O24" s="166"/>
      <c r="P24" s="166"/>
      <c r="Q24" s="166"/>
      <c r="R24" s="166"/>
      <c r="S24" s="8"/>
      <c r="T24" s="166" t="s">
        <v>21</v>
      </c>
      <c r="U24" s="166"/>
      <c r="V24" s="166"/>
      <c r="W24" s="166"/>
      <c r="X24" s="166"/>
      <c r="Y24" s="166"/>
      <c r="Z24" s="166"/>
      <c r="AA24" s="166"/>
      <c r="AB24" s="20"/>
    </row>
    <row r="25" spans="2:28" ht="3" customHeight="1"/>
    <row r="26" spans="2:28" ht="15" customHeight="1">
      <c r="B26" s="151" t="s">
        <v>126</v>
      </c>
      <c r="C26" s="151"/>
      <c r="D26" s="151"/>
      <c r="E26" s="151"/>
      <c r="F26" s="151"/>
      <c r="G26" s="151"/>
      <c r="H26" s="151"/>
      <c r="I26" s="151"/>
      <c r="J26" s="151"/>
      <c r="K26" s="151"/>
      <c r="L26" s="35"/>
      <c r="M26" s="168">
        <f>(S20+S21+S22)/12</f>
        <v>0</v>
      </c>
      <c r="N26" s="168"/>
      <c r="O26" s="168"/>
      <c r="P26" s="168"/>
      <c r="Q26" s="168"/>
      <c r="R26" s="20" t="s">
        <v>119</v>
      </c>
      <c r="T26" s="184" t="s">
        <v>129</v>
      </c>
      <c r="U26" s="184"/>
      <c r="V26" s="184"/>
      <c r="W26" s="184"/>
      <c r="X26" s="184"/>
      <c r="Y26" s="184"/>
      <c r="Z26" s="184"/>
      <c r="AA26" s="184"/>
      <c r="AB26" s="22"/>
    </row>
    <row r="27" spans="2:28" ht="15" customHeight="1">
      <c r="B27" s="143" t="s">
        <v>128</v>
      </c>
      <c r="C27" s="143"/>
      <c r="D27" s="143"/>
      <c r="E27" s="143"/>
      <c r="F27" s="143"/>
      <c r="G27" s="143"/>
      <c r="H27" s="143"/>
      <c r="I27" s="143"/>
      <c r="J27" s="143"/>
      <c r="K27" s="143"/>
      <c r="L27" s="35"/>
      <c r="M27" s="167"/>
      <c r="N27" s="167"/>
      <c r="O27" s="167"/>
      <c r="P27" s="167"/>
      <c r="Q27" s="167"/>
      <c r="R27" s="44" t="s">
        <v>119</v>
      </c>
      <c r="T27" s="185" t="s">
        <v>130</v>
      </c>
      <c r="U27" s="185"/>
      <c r="V27" s="185"/>
      <c r="W27" s="185"/>
      <c r="X27" s="185"/>
      <c r="Y27" s="185"/>
      <c r="Z27" s="185"/>
      <c r="AA27" s="185"/>
      <c r="AB27" s="22"/>
    </row>
    <row r="28" spans="2:28" ht="15" customHeight="1">
      <c r="B28" s="182" t="s">
        <v>127</v>
      </c>
      <c r="C28" s="182"/>
      <c r="D28" s="182"/>
      <c r="E28" s="182"/>
      <c r="F28" s="182"/>
      <c r="G28" s="182"/>
      <c r="H28" s="182"/>
      <c r="I28" s="182"/>
      <c r="J28" s="182"/>
      <c r="K28" s="182"/>
      <c r="L28" s="64"/>
      <c r="M28" s="202" t="str">
        <f>IFERROR(M13-(M26+M27),"")</f>
        <v/>
      </c>
      <c r="N28" s="202"/>
      <c r="O28" s="202"/>
      <c r="P28" s="202"/>
      <c r="Q28" s="202"/>
      <c r="R28" s="65" t="s">
        <v>119</v>
      </c>
      <c r="S28" s="66"/>
      <c r="T28" s="183"/>
      <c r="U28" s="183"/>
      <c r="V28" s="183"/>
      <c r="W28" s="183"/>
      <c r="X28" s="183"/>
      <c r="Y28" s="183"/>
      <c r="Z28" s="183"/>
      <c r="AA28" s="183"/>
      <c r="AB28" s="22"/>
    </row>
    <row r="29" spans="2:28" ht="3" customHeight="1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2:28" ht="18" customHeight="1"/>
    <row r="31" spans="2:28" ht="18" customHeight="1"/>
    <row r="32" spans="2:28" ht="15" customHeight="1">
      <c r="B32" s="1" t="s">
        <v>109</v>
      </c>
    </row>
    <row r="33" spans="2:27" ht="11" customHeight="1">
      <c r="B33" s="166" t="s">
        <v>111</v>
      </c>
      <c r="C33" s="166"/>
      <c r="D33" s="166"/>
      <c r="E33" s="166"/>
      <c r="F33" s="166"/>
      <c r="G33" s="166"/>
      <c r="H33" s="166"/>
      <c r="I33" s="20"/>
      <c r="J33" s="166" t="s">
        <v>112</v>
      </c>
      <c r="K33" s="166"/>
      <c r="L33" s="166"/>
      <c r="M33" s="166"/>
      <c r="N33" s="166"/>
      <c r="O33" s="166"/>
      <c r="P33" s="166"/>
      <c r="Q33" s="166"/>
      <c r="R33" s="166"/>
      <c r="S33" s="8"/>
      <c r="T33" s="166" t="s">
        <v>113</v>
      </c>
      <c r="U33" s="166"/>
      <c r="V33" s="166"/>
      <c r="W33" s="166"/>
      <c r="X33" s="166"/>
      <c r="Y33" s="166"/>
      <c r="Z33" s="166"/>
      <c r="AA33" s="166"/>
    </row>
    <row r="34" spans="2:27" ht="3" customHeight="1"/>
    <row r="35" spans="2:27" ht="11" customHeight="1">
      <c r="B35" s="168">
        <v>19000000</v>
      </c>
      <c r="C35" s="168"/>
      <c r="D35" s="168"/>
      <c r="E35" s="168"/>
      <c r="F35" s="168"/>
      <c r="G35" s="168"/>
      <c r="H35" s="48" t="s">
        <v>119</v>
      </c>
      <c r="I35" s="20"/>
      <c r="J35" s="168">
        <v>54524</v>
      </c>
      <c r="K35" s="168"/>
      <c r="L35" s="168"/>
      <c r="M35" s="168"/>
      <c r="N35" s="168"/>
      <c r="O35" s="168"/>
      <c r="P35" s="168"/>
      <c r="Q35" s="133" t="s">
        <v>131</v>
      </c>
      <c r="R35" s="133"/>
      <c r="T35" s="168">
        <f>J36-J35</f>
        <v>2870</v>
      </c>
      <c r="U35" s="168"/>
      <c r="V35" s="168"/>
      <c r="W35" s="168"/>
      <c r="X35" s="168"/>
      <c r="Y35" s="168"/>
      <c r="Z35" s="168"/>
      <c r="AA35" s="39" t="s">
        <v>119</v>
      </c>
    </row>
    <row r="36" spans="2:27" ht="11" customHeight="1">
      <c r="B36" s="167">
        <v>20000000</v>
      </c>
      <c r="C36" s="167"/>
      <c r="D36" s="167"/>
      <c r="E36" s="167"/>
      <c r="F36" s="167"/>
      <c r="G36" s="167"/>
      <c r="H36" s="49" t="s">
        <v>119</v>
      </c>
      <c r="I36" s="20"/>
      <c r="J36" s="167">
        <v>57394</v>
      </c>
      <c r="K36" s="167"/>
      <c r="L36" s="167"/>
      <c r="M36" s="167"/>
      <c r="N36" s="167"/>
      <c r="O36" s="167"/>
      <c r="P36" s="167"/>
      <c r="Q36" s="110" t="s">
        <v>131</v>
      </c>
      <c r="R36" s="110"/>
      <c r="T36" s="167">
        <f>J37-J36</f>
        <v>2869</v>
      </c>
      <c r="U36" s="167"/>
      <c r="V36" s="167"/>
      <c r="W36" s="167"/>
      <c r="X36" s="167"/>
      <c r="Y36" s="167"/>
      <c r="Z36" s="167"/>
      <c r="AA36" s="41" t="s">
        <v>119</v>
      </c>
    </row>
    <row r="37" spans="2:27" ht="11" customHeight="1">
      <c r="B37" s="168">
        <v>21000000</v>
      </c>
      <c r="C37" s="168"/>
      <c r="D37" s="168"/>
      <c r="E37" s="168"/>
      <c r="F37" s="168"/>
      <c r="G37" s="168"/>
      <c r="H37" s="48" t="s">
        <v>119</v>
      </c>
      <c r="I37" s="20"/>
      <c r="J37" s="168">
        <v>60263</v>
      </c>
      <c r="K37" s="168"/>
      <c r="L37" s="168"/>
      <c r="M37" s="168"/>
      <c r="N37" s="168"/>
      <c r="O37" s="168"/>
      <c r="P37" s="168"/>
      <c r="Q37" s="133" t="s">
        <v>131</v>
      </c>
      <c r="R37" s="133"/>
      <c r="T37" s="168">
        <f t="shared" ref="T37:T55" si="3">J38-J37</f>
        <v>2870</v>
      </c>
      <c r="U37" s="168"/>
      <c r="V37" s="168"/>
      <c r="W37" s="168"/>
      <c r="X37" s="168"/>
      <c r="Y37" s="168"/>
      <c r="Z37" s="168"/>
      <c r="AA37" s="39" t="s">
        <v>119</v>
      </c>
    </row>
    <row r="38" spans="2:27" ht="11" customHeight="1">
      <c r="B38" s="167">
        <v>22000000</v>
      </c>
      <c r="C38" s="167"/>
      <c r="D38" s="167"/>
      <c r="E38" s="167"/>
      <c r="F38" s="167"/>
      <c r="G38" s="167"/>
      <c r="H38" s="49" t="s">
        <v>119</v>
      </c>
      <c r="I38" s="20"/>
      <c r="J38" s="167">
        <v>63133</v>
      </c>
      <c r="K38" s="167"/>
      <c r="L38" s="167"/>
      <c r="M38" s="167"/>
      <c r="N38" s="167"/>
      <c r="O38" s="167"/>
      <c r="P38" s="167"/>
      <c r="Q38" s="110" t="s">
        <v>131</v>
      </c>
      <c r="R38" s="110"/>
      <c r="T38" s="167">
        <f t="shared" si="3"/>
        <v>2869.3333333332994</v>
      </c>
      <c r="U38" s="167"/>
      <c r="V38" s="167"/>
      <c r="W38" s="167"/>
      <c r="X38" s="167"/>
      <c r="Y38" s="167"/>
      <c r="Z38" s="167"/>
      <c r="AA38" s="41" t="s">
        <v>119</v>
      </c>
    </row>
    <row r="39" spans="2:27" ht="11" customHeight="1">
      <c r="B39" s="168">
        <v>23000000</v>
      </c>
      <c r="C39" s="168"/>
      <c r="D39" s="168"/>
      <c r="E39" s="168"/>
      <c r="F39" s="168"/>
      <c r="G39" s="168"/>
      <c r="H39" s="48" t="s">
        <v>119</v>
      </c>
      <c r="I39" s="20"/>
      <c r="J39" s="168">
        <v>66002.333333333299</v>
      </c>
      <c r="K39" s="168"/>
      <c r="L39" s="168"/>
      <c r="M39" s="168"/>
      <c r="N39" s="168"/>
      <c r="O39" s="168"/>
      <c r="P39" s="168"/>
      <c r="Q39" s="133" t="s">
        <v>131</v>
      </c>
      <c r="R39" s="133"/>
      <c r="T39" s="168">
        <f t="shared" si="3"/>
        <v>2869.5</v>
      </c>
      <c r="U39" s="168"/>
      <c r="V39" s="168"/>
      <c r="W39" s="168"/>
      <c r="X39" s="168"/>
      <c r="Y39" s="168"/>
      <c r="Z39" s="168"/>
      <c r="AA39" s="39" t="s">
        <v>119</v>
      </c>
    </row>
    <row r="40" spans="2:27" ht="11" customHeight="1">
      <c r="B40" s="167">
        <v>24000000</v>
      </c>
      <c r="C40" s="167"/>
      <c r="D40" s="167"/>
      <c r="E40" s="167"/>
      <c r="F40" s="167"/>
      <c r="G40" s="167"/>
      <c r="H40" s="49" t="s">
        <v>119</v>
      </c>
      <c r="I40" s="20"/>
      <c r="J40" s="167">
        <v>68871.833333333299</v>
      </c>
      <c r="K40" s="167"/>
      <c r="L40" s="167"/>
      <c r="M40" s="167"/>
      <c r="N40" s="167"/>
      <c r="O40" s="167"/>
      <c r="P40" s="167"/>
      <c r="Q40" s="110" t="s">
        <v>131</v>
      </c>
      <c r="R40" s="110"/>
      <c r="T40" s="167">
        <f t="shared" si="3"/>
        <v>2869.5</v>
      </c>
      <c r="U40" s="167"/>
      <c r="V40" s="167"/>
      <c r="W40" s="167"/>
      <c r="X40" s="167"/>
      <c r="Y40" s="167"/>
      <c r="Z40" s="167"/>
      <c r="AA40" s="41" t="s">
        <v>119</v>
      </c>
    </row>
    <row r="41" spans="2:27" ht="11" customHeight="1">
      <c r="B41" s="168">
        <v>25000000</v>
      </c>
      <c r="C41" s="168"/>
      <c r="D41" s="168"/>
      <c r="E41" s="168"/>
      <c r="F41" s="168"/>
      <c r="G41" s="168"/>
      <c r="H41" s="48" t="s">
        <v>119</v>
      </c>
      <c r="I41" s="20"/>
      <c r="J41" s="168">
        <v>71741.333333333299</v>
      </c>
      <c r="K41" s="168"/>
      <c r="L41" s="168"/>
      <c r="M41" s="168"/>
      <c r="N41" s="168"/>
      <c r="O41" s="168"/>
      <c r="P41" s="168"/>
      <c r="Q41" s="133" t="s">
        <v>131</v>
      </c>
      <c r="R41" s="133"/>
      <c r="T41" s="168">
        <f t="shared" si="3"/>
        <v>2869.5</v>
      </c>
      <c r="U41" s="168"/>
      <c r="V41" s="168"/>
      <c r="W41" s="168"/>
      <c r="X41" s="168"/>
      <c r="Y41" s="168"/>
      <c r="Z41" s="168"/>
      <c r="AA41" s="39" t="s">
        <v>119</v>
      </c>
    </row>
    <row r="42" spans="2:27" ht="11" customHeight="1">
      <c r="B42" s="167">
        <v>26000000</v>
      </c>
      <c r="C42" s="167"/>
      <c r="D42" s="167"/>
      <c r="E42" s="167"/>
      <c r="F42" s="167"/>
      <c r="G42" s="167"/>
      <c r="H42" s="49" t="s">
        <v>119</v>
      </c>
      <c r="I42" s="20"/>
      <c r="J42" s="167">
        <v>74610.833333333299</v>
      </c>
      <c r="K42" s="167"/>
      <c r="L42" s="167"/>
      <c r="M42" s="167"/>
      <c r="N42" s="167"/>
      <c r="O42" s="167"/>
      <c r="P42" s="167"/>
      <c r="Q42" s="110" t="s">
        <v>131</v>
      </c>
      <c r="R42" s="110"/>
      <c r="T42" s="167">
        <f t="shared" si="3"/>
        <v>2869.5</v>
      </c>
      <c r="U42" s="167"/>
      <c r="V42" s="167"/>
      <c r="W42" s="167"/>
      <c r="X42" s="167"/>
      <c r="Y42" s="167"/>
      <c r="Z42" s="167"/>
      <c r="AA42" s="41" t="s">
        <v>119</v>
      </c>
    </row>
    <row r="43" spans="2:27" ht="11" customHeight="1">
      <c r="B43" s="168">
        <v>27000000</v>
      </c>
      <c r="C43" s="168"/>
      <c r="D43" s="168"/>
      <c r="E43" s="168"/>
      <c r="F43" s="168"/>
      <c r="G43" s="168"/>
      <c r="H43" s="48" t="s">
        <v>119</v>
      </c>
      <c r="I43" s="20"/>
      <c r="J43" s="168">
        <v>77480.333333333299</v>
      </c>
      <c r="K43" s="168"/>
      <c r="L43" s="168"/>
      <c r="M43" s="168"/>
      <c r="N43" s="168"/>
      <c r="O43" s="168"/>
      <c r="P43" s="168"/>
      <c r="Q43" s="133" t="s">
        <v>131</v>
      </c>
      <c r="R43" s="133"/>
      <c r="T43" s="168">
        <f t="shared" si="3"/>
        <v>2869.5</v>
      </c>
      <c r="U43" s="168"/>
      <c r="V43" s="168"/>
      <c r="W43" s="168"/>
      <c r="X43" s="168"/>
      <c r="Y43" s="168"/>
      <c r="Z43" s="168"/>
      <c r="AA43" s="39" t="s">
        <v>119</v>
      </c>
    </row>
    <row r="44" spans="2:27" ht="11" customHeight="1">
      <c r="B44" s="167">
        <v>28000000</v>
      </c>
      <c r="C44" s="167"/>
      <c r="D44" s="167"/>
      <c r="E44" s="167"/>
      <c r="F44" s="167"/>
      <c r="G44" s="167"/>
      <c r="H44" s="49" t="s">
        <v>119</v>
      </c>
      <c r="I44" s="20"/>
      <c r="J44" s="167">
        <v>80349.833333333299</v>
      </c>
      <c r="K44" s="167"/>
      <c r="L44" s="167"/>
      <c r="M44" s="167"/>
      <c r="N44" s="167"/>
      <c r="O44" s="167"/>
      <c r="P44" s="167"/>
      <c r="Q44" s="110" t="s">
        <v>131</v>
      </c>
      <c r="R44" s="110"/>
      <c r="T44" s="167">
        <f t="shared" si="3"/>
        <v>2869.5</v>
      </c>
      <c r="U44" s="167"/>
      <c r="V44" s="167"/>
      <c r="W44" s="167"/>
      <c r="X44" s="167"/>
      <c r="Y44" s="167"/>
      <c r="Z44" s="167"/>
      <c r="AA44" s="41" t="s">
        <v>119</v>
      </c>
    </row>
    <row r="45" spans="2:27" ht="11" customHeight="1">
      <c r="B45" s="168">
        <v>29000000</v>
      </c>
      <c r="C45" s="168"/>
      <c r="D45" s="168"/>
      <c r="E45" s="168"/>
      <c r="F45" s="168"/>
      <c r="G45" s="168"/>
      <c r="H45" s="48" t="s">
        <v>119</v>
      </c>
      <c r="I45" s="20"/>
      <c r="J45" s="168">
        <v>83219.333333333299</v>
      </c>
      <c r="K45" s="168"/>
      <c r="L45" s="168"/>
      <c r="M45" s="168"/>
      <c r="N45" s="168"/>
      <c r="O45" s="168"/>
      <c r="P45" s="168"/>
      <c r="Q45" s="133" t="s">
        <v>131</v>
      </c>
      <c r="R45" s="133"/>
      <c r="T45" s="168">
        <f t="shared" si="3"/>
        <v>2869.5</v>
      </c>
      <c r="U45" s="168"/>
      <c r="V45" s="168"/>
      <c r="W45" s="168"/>
      <c r="X45" s="168"/>
      <c r="Y45" s="168"/>
      <c r="Z45" s="168"/>
      <c r="AA45" s="39" t="s">
        <v>119</v>
      </c>
    </row>
    <row r="46" spans="2:27" ht="11" customHeight="1">
      <c r="B46" s="167">
        <v>30000000</v>
      </c>
      <c r="C46" s="167"/>
      <c r="D46" s="167"/>
      <c r="E46" s="167"/>
      <c r="F46" s="167"/>
      <c r="G46" s="167"/>
      <c r="H46" s="49" t="s">
        <v>119</v>
      </c>
      <c r="I46" s="20"/>
      <c r="J46" s="167">
        <v>86088.833333333299</v>
      </c>
      <c r="K46" s="167"/>
      <c r="L46" s="167"/>
      <c r="M46" s="167"/>
      <c r="N46" s="167"/>
      <c r="O46" s="167"/>
      <c r="P46" s="167"/>
      <c r="Q46" s="110" t="s">
        <v>131</v>
      </c>
      <c r="R46" s="110"/>
      <c r="T46" s="167">
        <f t="shared" si="3"/>
        <v>2869.5</v>
      </c>
      <c r="U46" s="167"/>
      <c r="V46" s="167"/>
      <c r="W46" s="167"/>
      <c r="X46" s="167"/>
      <c r="Y46" s="167"/>
      <c r="Z46" s="167"/>
      <c r="AA46" s="41" t="s">
        <v>119</v>
      </c>
    </row>
    <row r="47" spans="2:27" ht="11" customHeight="1">
      <c r="B47" s="168">
        <v>31000000</v>
      </c>
      <c r="C47" s="168"/>
      <c r="D47" s="168"/>
      <c r="E47" s="168"/>
      <c r="F47" s="168"/>
      <c r="G47" s="168"/>
      <c r="H47" s="48" t="s">
        <v>119</v>
      </c>
      <c r="I47" s="20"/>
      <c r="J47" s="168">
        <v>88958.333333333299</v>
      </c>
      <c r="K47" s="168"/>
      <c r="L47" s="168"/>
      <c r="M47" s="168"/>
      <c r="N47" s="168"/>
      <c r="O47" s="168"/>
      <c r="P47" s="168"/>
      <c r="Q47" s="133" t="s">
        <v>131</v>
      </c>
      <c r="R47" s="133"/>
      <c r="T47" s="168">
        <f t="shared" si="3"/>
        <v>2869.5</v>
      </c>
      <c r="U47" s="168"/>
      <c r="V47" s="168"/>
      <c r="W47" s="168"/>
      <c r="X47" s="168"/>
      <c r="Y47" s="168"/>
      <c r="Z47" s="168"/>
      <c r="AA47" s="39" t="s">
        <v>119</v>
      </c>
    </row>
    <row r="48" spans="2:27" ht="11" customHeight="1">
      <c r="B48" s="167">
        <v>32000000</v>
      </c>
      <c r="C48" s="167"/>
      <c r="D48" s="167"/>
      <c r="E48" s="167"/>
      <c r="F48" s="167"/>
      <c r="G48" s="167"/>
      <c r="H48" s="49" t="s">
        <v>119</v>
      </c>
      <c r="I48" s="20"/>
      <c r="J48" s="167">
        <v>91827.833333333299</v>
      </c>
      <c r="K48" s="167"/>
      <c r="L48" s="167"/>
      <c r="M48" s="167"/>
      <c r="N48" s="167"/>
      <c r="O48" s="167"/>
      <c r="P48" s="167"/>
      <c r="Q48" s="110" t="s">
        <v>131</v>
      </c>
      <c r="R48" s="110"/>
      <c r="T48" s="167">
        <f t="shared" si="3"/>
        <v>2869.5</v>
      </c>
      <c r="U48" s="167"/>
      <c r="V48" s="167"/>
      <c r="W48" s="167"/>
      <c r="X48" s="167"/>
      <c r="Y48" s="167"/>
      <c r="Z48" s="167"/>
      <c r="AA48" s="41" t="s">
        <v>119</v>
      </c>
    </row>
    <row r="49" spans="2:27" ht="11" customHeight="1">
      <c r="B49" s="168">
        <v>33000000</v>
      </c>
      <c r="C49" s="168"/>
      <c r="D49" s="168"/>
      <c r="E49" s="168"/>
      <c r="F49" s="168"/>
      <c r="G49" s="168"/>
      <c r="H49" s="48" t="s">
        <v>119</v>
      </c>
      <c r="I49" s="20"/>
      <c r="J49" s="168">
        <v>94697.333333333299</v>
      </c>
      <c r="K49" s="168"/>
      <c r="L49" s="168"/>
      <c r="M49" s="168"/>
      <c r="N49" s="168"/>
      <c r="O49" s="168"/>
      <c r="P49" s="168"/>
      <c r="Q49" s="133" t="s">
        <v>131</v>
      </c>
      <c r="R49" s="133"/>
      <c r="T49" s="168">
        <f t="shared" si="3"/>
        <v>2869.5</v>
      </c>
      <c r="U49" s="168"/>
      <c r="V49" s="168"/>
      <c r="W49" s="168"/>
      <c r="X49" s="168"/>
      <c r="Y49" s="168"/>
      <c r="Z49" s="168"/>
      <c r="AA49" s="39" t="s">
        <v>119</v>
      </c>
    </row>
    <row r="50" spans="2:27" ht="11" customHeight="1">
      <c r="B50" s="167">
        <v>34000000</v>
      </c>
      <c r="C50" s="167"/>
      <c r="D50" s="167"/>
      <c r="E50" s="167"/>
      <c r="F50" s="167"/>
      <c r="G50" s="167"/>
      <c r="H50" s="49" t="s">
        <v>119</v>
      </c>
      <c r="I50" s="20"/>
      <c r="J50" s="167">
        <v>97566.833333333299</v>
      </c>
      <c r="K50" s="167"/>
      <c r="L50" s="167"/>
      <c r="M50" s="167"/>
      <c r="N50" s="167"/>
      <c r="O50" s="167"/>
      <c r="P50" s="167"/>
      <c r="Q50" s="110" t="s">
        <v>131</v>
      </c>
      <c r="R50" s="110"/>
      <c r="T50" s="167">
        <f t="shared" si="3"/>
        <v>2869.4999999996944</v>
      </c>
      <c r="U50" s="167"/>
      <c r="V50" s="167"/>
      <c r="W50" s="167"/>
      <c r="X50" s="167"/>
      <c r="Y50" s="167"/>
      <c r="Z50" s="167"/>
      <c r="AA50" s="41" t="s">
        <v>119</v>
      </c>
    </row>
    <row r="51" spans="2:27" ht="11" customHeight="1">
      <c r="B51" s="168">
        <v>35000000</v>
      </c>
      <c r="C51" s="168"/>
      <c r="D51" s="168"/>
      <c r="E51" s="168"/>
      <c r="F51" s="168"/>
      <c r="G51" s="168"/>
      <c r="H51" s="48" t="s">
        <v>119</v>
      </c>
      <c r="I51" s="20"/>
      <c r="J51" s="168">
        <v>100436.33333333299</v>
      </c>
      <c r="K51" s="168"/>
      <c r="L51" s="168"/>
      <c r="M51" s="168"/>
      <c r="N51" s="168"/>
      <c r="O51" s="168"/>
      <c r="P51" s="168"/>
      <c r="Q51" s="133" t="s">
        <v>131</v>
      </c>
      <c r="R51" s="133"/>
      <c r="T51" s="168">
        <f t="shared" si="3"/>
        <v>2869.5</v>
      </c>
      <c r="U51" s="168"/>
      <c r="V51" s="168"/>
      <c r="W51" s="168"/>
      <c r="X51" s="168"/>
      <c r="Y51" s="168"/>
      <c r="Z51" s="168"/>
      <c r="AA51" s="39" t="s">
        <v>119</v>
      </c>
    </row>
    <row r="52" spans="2:27" ht="11" customHeight="1">
      <c r="B52" s="167">
        <v>36000000</v>
      </c>
      <c r="C52" s="167"/>
      <c r="D52" s="167"/>
      <c r="E52" s="167"/>
      <c r="F52" s="167"/>
      <c r="G52" s="167"/>
      <c r="H52" s="49" t="s">
        <v>119</v>
      </c>
      <c r="I52" s="20"/>
      <c r="J52" s="167">
        <v>103305.83333333299</v>
      </c>
      <c r="K52" s="167"/>
      <c r="L52" s="167"/>
      <c r="M52" s="167"/>
      <c r="N52" s="167"/>
      <c r="O52" s="167"/>
      <c r="P52" s="167"/>
      <c r="Q52" s="110" t="s">
        <v>131</v>
      </c>
      <c r="R52" s="110"/>
      <c r="T52" s="167">
        <f t="shared" si="3"/>
        <v>2869.5</v>
      </c>
      <c r="U52" s="167"/>
      <c r="V52" s="167"/>
      <c r="W52" s="167"/>
      <c r="X52" s="167"/>
      <c r="Y52" s="167"/>
      <c r="Z52" s="167"/>
      <c r="AA52" s="41" t="s">
        <v>119</v>
      </c>
    </row>
    <row r="53" spans="2:27" ht="11" customHeight="1">
      <c r="B53" s="168">
        <v>37000000</v>
      </c>
      <c r="C53" s="168"/>
      <c r="D53" s="168"/>
      <c r="E53" s="168"/>
      <c r="F53" s="168"/>
      <c r="G53" s="168"/>
      <c r="H53" s="48" t="s">
        <v>119</v>
      </c>
      <c r="I53" s="20"/>
      <c r="J53" s="168">
        <v>106175.33333333299</v>
      </c>
      <c r="K53" s="168"/>
      <c r="L53" s="168"/>
      <c r="M53" s="168"/>
      <c r="N53" s="168"/>
      <c r="O53" s="168"/>
      <c r="P53" s="168"/>
      <c r="Q53" s="133" t="s">
        <v>131</v>
      </c>
      <c r="R53" s="133"/>
      <c r="T53" s="168">
        <f t="shared" si="3"/>
        <v>2869.5</v>
      </c>
      <c r="U53" s="168"/>
      <c r="V53" s="168"/>
      <c r="W53" s="168"/>
      <c r="X53" s="168"/>
      <c r="Y53" s="168"/>
      <c r="Z53" s="168"/>
      <c r="AA53" s="39" t="s">
        <v>119</v>
      </c>
    </row>
    <row r="54" spans="2:27" ht="11" customHeight="1">
      <c r="B54" s="167">
        <v>38000000</v>
      </c>
      <c r="C54" s="167"/>
      <c r="D54" s="167"/>
      <c r="E54" s="167"/>
      <c r="F54" s="167"/>
      <c r="G54" s="167"/>
      <c r="H54" s="49" t="s">
        <v>119</v>
      </c>
      <c r="I54" s="20"/>
      <c r="J54" s="167">
        <v>109044.83333333299</v>
      </c>
      <c r="K54" s="167"/>
      <c r="L54" s="167"/>
      <c r="M54" s="167"/>
      <c r="N54" s="167"/>
      <c r="O54" s="167"/>
      <c r="P54" s="167"/>
      <c r="Q54" s="110" t="s">
        <v>131</v>
      </c>
      <c r="R54" s="110"/>
      <c r="T54" s="167">
        <f t="shared" si="3"/>
        <v>2869.5</v>
      </c>
      <c r="U54" s="167"/>
      <c r="V54" s="167"/>
      <c r="W54" s="167"/>
      <c r="X54" s="167"/>
      <c r="Y54" s="167"/>
      <c r="Z54" s="167"/>
      <c r="AA54" s="41" t="s">
        <v>119</v>
      </c>
    </row>
    <row r="55" spans="2:27" ht="11" customHeight="1">
      <c r="B55" s="168">
        <v>39000000</v>
      </c>
      <c r="C55" s="168"/>
      <c r="D55" s="168"/>
      <c r="E55" s="168"/>
      <c r="F55" s="168"/>
      <c r="G55" s="168"/>
      <c r="H55" s="48" t="s">
        <v>119</v>
      </c>
      <c r="I55" s="20"/>
      <c r="J55" s="168">
        <v>111914.33333333299</v>
      </c>
      <c r="K55" s="168"/>
      <c r="L55" s="168"/>
      <c r="M55" s="168"/>
      <c r="N55" s="168"/>
      <c r="O55" s="168"/>
      <c r="P55" s="168"/>
      <c r="Q55" s="133" t="s">
        <v>131</v>
      </c>
      <c r="R55" s="133"/>
      <c r="T55" s="168">
        <f t="shared" si="3"/>
        <v>2869.5</v>
      </c>
      <c r="U55" s="168"/>
      <c r="V55" s="168"/>
      <c r="W55" s="168"/>
      <c r="X55" s="168"/>
      <c r="Y55" s="168"/>
      <c r="Z55" s="168"/>
      <c r="AA55" s="39" t="s">
        <v>119</v>
      </c>
    </row>
    <row r="56" spans="2:27" ht="11" customHeight="1">
      <c r="B56" s="167">
        <v>40000000</v>
      </c>
      <c r="C56" s="167"/>
      <c r="D56" s="167"/>
      <c r="E56" s="167"/>
      <c r="F56" s="167"/>
      <c r="G56" s="167"/>
      <c r="H56" s="49" t="s">
        <v>119</v>
      </c>
      <c r="I56" s="20"/>
      <c r="J56" s="167">
        <v>114783.83333333299</v>
      </c>
      <c r="K56" s="167"/>
      <c r="L56" s="167"/>
      <c r="M56" s="167"/>
      <c r="N56" s="167"/>
      <c r="O56" s="167"/>
      <c r="P56" s="167"/>
      <c r="Q56" s="110" t="s">
        <v>131</v>
      </c>
      <c r="R56" s="110"/>
      <c r="T56" s="167"/>
      <c r="U56" s="167"/>
      <c r="V56" s="167"/>
      <c r="W56" s="167"/>
      <c r="X56" s="167"/>
      <c r="Y56" s="167"/>
      <c r="Z56" s="167"/>
      <c r="AA56" s="41" t="s">
        <v>119</v>
      </c>
    </row>
    <row r="57" spans="2:27" ht="3" customHeight="1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spans="2:27" ht="11" customHeight="1">
      <c r="B58" s="38" t="s">
        <v>114</v>
      </c>
    </row>
    <row r="59" spans="2:27" ht="11" customHeight="1"/>
    <row r="60" spans="2:27" ht="11" customHeight="1"/>
    <row r="61" spans="2:27" ht="11" customHeight="1"/>
    <row r="62" spans="2:27" ht="11" customHeight="1"/>
    <row r="63" spans="2:27" ht="11" customHeight="1"/>
    <row r="64" spans="2:27" ht="11" customHeight="1"/>
    <row r="65" ht="11" customHeight="1"/>
    <row r="66" ht="11" customHeight="1"/>
    <row r="67" ht="11" customHeight="1"/>
    <row r="68" ht="11" customHeight="1"/>
    <row r="69" ht="11" customHeight="1"/>
    <row r="70" ht="11" customHeight="1"/>
    <row r="71" ht="11" customHeight="1"/>
    <row r="72" ht="11" customHeight="1"/>
    <row r="73" ht="11" customHeight="1"/>
    <row r="74" ht="11" customHeight="1"/>
    <row r="75" ht="11" customHeight="1"/>
    <row r="76" ht="11" customHeight="1"/>
    <row r="77" ht="11" customHeight="1"/>
    <row r="78" ht="11" customHeight="1"/>
    <row r="79" ht="11" customHeight="1"/>
    <row r="80" ht="11" customHeight="1"/>
    <row r="81" ht="11" customHeight="1"/>
    <row r="82" ht="11" customHeight="1"/>
    <row r="83" ht="11" customHeight="1"/>
    <row r="84" ht="11" customHeight="1"/>
    <row r="85" ht="11" customHeight="1"/>
    <row r="86" ht="11" customHeight="1"/>
    <row r="87" ht="11" customHeight="1"/>
    <row r="88" ht="11" customHeight="1"/>
    <row r="89" ht="11" customHeight="1"/>
    <row r="90" ht="11" customHeight="1"/>
    <row r="91" ht="11" customHeight="1"/>
    <row r="92" ht="11" customHeight="1"/>
    <row r="93" ht="11" customHeight="1"/>
    <row r="94" ht="11" customHeight="1"/>
    <row r="95" ht="11" customHeight="1"/>
    <row r="96" ht="11" customHeight="1"/>
    <row r="97" ht="11" customHeight="1"/>
    <row r="98" ht="11" customHeight="1"/>
    <row r="99" ht="11" customHeight="1"/>
    <row r="100" ht="11" customHeight="1"/>
    <row r="101" ht="11" customHeight="1"/>
    <row r="102" ht="11" customHeight="1"/>
    <row r="103" ht="11" customHeight="1"/>
    <row r="104" ht="11" customHeight="1"/>
    <row r="105" ht="11" customHeight="1"/>
    <row r="106" ht="11" customHeight="1"/>
    <row r="107" ht="11" customHeight="1"/>
    <row r="108" ht="11" customHeight="1"/>
    <row r="109" ht="11" customHeight="1"/>
    <row r="110" ht="11" customHeight="1"/>
    <row r="111" ht="11" customHeight="1"/>
    <row r="112" ht="11" customHeight="1"/>
    <row r="113" ht="11" customHeight="1"/>
    <row r="114" ht="11" customHeight="1"/>
    <row r="115" ht="11" customHeight="1"/>
    <row r="116" ht="11" customHeight="1"/>
    <row r="117" ht="11" customHeight="1"/>
    <row r="118" ht="11" customHeight="1"/>
    <row r="119" ht="11" customHeight="1"/>
    <row r="120" ht="11" customHeight="1"/>
    <row r="121" ht="11" customHeight="1"/>
    <row r="122" ht="11" customHeight="1"/>
    <row r="123" ht="11" customHeight="1"/>
    <row r="124" ht="11" customHeight="1"/>
    <row r="125" ht="11" customHeight="1"/>
  </sheetData>
  <mergeCells count="154">
    <mergeCell ref="T53:Z53"/>
    <mergeCell ref="T54:Z54"/>
    <mergeCell ref="T55:Z55"/>
    <mergeCell ref="T56:Z56"/>
    <mergeCell ref="Q51:R51"/>
    <mergeCell ref="Q52:R52"/>
    <mergeCell ref="Q53:R53"/>
    <mergeCell ref="Q54:R54"/>
    <mergeCell ref="Q55:R55"/>
    <mergeCell ref="Q56:R56"/>
    <mergeCell ref="T35:Z35"/>
    <mergeCell ref="T36:Z36"/>
    <mergeCell ref="T37:Z37"/>
    <mergeCell ref="T38:Z38"/>
    <mergeCell ref="T39:Z39"/>
    <mergeCell ref="T40:Z40"/>
    <mergeCell ref="T41:Z41"/>
    <mergeCell ref="T42:Z42"/>
    <mergeCell ref="T43:Z43"/>
    <mergeCell ref="T44:Z44"/>
    <mergeCell ref="T45:Z45"/>
    <mergeCell ref="T46:Z46"/>
    <mergeCell ref="T47:Z47"/>
    <mergeCell ref="T48:Z48"/>
    <mergeCell ref="T49:Z49"/>
    <mergeCell ref="T50:Z50"/>
    <mergeCell ref="T51:Z51"/>
    <mergeCell ref="T52:Z52"/>
    <mergeCell ref="J54:P54"/>
    <mergeCell ref="J55:P55"/>
    <mergeCell ref="J56:P56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J45:P45"/>
    <mergeCell ref="J46:P46"/>
    <mergeCell ref="J47:P47"/>
    <mergeCell ref="J48:P48"/>
    <mergeCell ref="J49:P49"/>
    <mergeCell ref="J50:P50"/>
    <mergeCell ref="J51:P51"/>
    <mergeCell ref="J52:P52"/>
    <mergeCell ref="J53:P53"/>
    <mergeCell ref="P20:Q20"/>
    <mergeCell ref="P21:Q21"/>
    <mergeCell ref="P22:Q22"/>
    <mergeCell ref="B20:D20"/>
    <mergeCell ref="E20:G20"/>
    <mergeCell ref="J40:P40"/>
    <mergeCell ref="J41:P41"/>
    <mergeCell ref="J42:P42"/>
    <mergeCell ref="J43:P43"/>
    <mergeCell ref="H21:J21"/>
    <mergeCell ref="H22:J22"/>
    <mergeCell ref="M26:Q26"/>
    <mergeCell ref="M27:Q27"/>
    <mergeCell ref="M28:Q28"/>
    <mergeCell ref="B35:G35"/>
    <mergeCell ref="B36:G36"/>
    <mergeCell ref="B37:G37"/>
    <mergeCell ref="J35:P35"/>
    <mergeCell ref="J36:P36"/>
    <mergeCell ref="J37:P37"/>
    <mergeCell ref="B4:E4"/>
    <mergeCell ref="F4:AA4"/>
    <mergeCell ref="B9:K9"/>
    <mergeCell ref="B10:K10"/>
    <mergeCell ref="T6:AA6"/>
    <mergeCell ref="T8:AA8"/>
    <mergeCell ref="B6:K6"/>
    <mergeCell ref="M6:R6"/>
    <mergeCell ref="B8:K8"/>
    <mergeCell ref="T9:AA9"/>
    <mergeCell ref="T10:AA10"/>
    <mergeCell ref="M8:Q8"/>
    <mergeCell ref="M9:Q9"/>
    <mergeCell ref="M10:Q10"/>
    <mergeCell ref="T12:AA12"/>
    <mergeCell ref="T11:AA11"/>
    <mergeCell ref="T13:AA13"/>
    <mergeCell ref="B19:D19"/>
    <mergeCell ref="E19:G19"/>
    <mergeCell ref="H19:K19"/>
    <mergeCell ref="L19:O19"/>
    <mergeCell ref="W20:AA20"/>
    <mergeCell ref="W21:AA21"/>
    <mergeCell ref="P19:R19"/>
    <mergeCell ref="B13:K13"/>
    <mergeCell ref="B11:K11"/>
    <mergeCell ref="B12:K12"/>
    <mergeCell ref="S19:V19"/>
    <mergeCell ref="W19:AA19"/>
    <mergeCell ref="M11:Q11"/>
    <mergeCell ref="M12:Q12"/>
    <mergeCell ref="M13:Q13"/>
    <mergeCell ref="B22:D22"/>
    <mergeCell ref="E22:G22"/>
    <mergeCell ref="W22:AA22"/>
    <mergeCell ref="B21:D21"/>
    <mergeCell ref="E21:G21"/>
    <mergeCell ref="L20:N20"/>
    <mergeCell ref="T33:AA33"/>
    <mergeCell ref="J33:R33"/>
    <mergeCell ref="B33:H33"/>
    <mergeCell ref="B24:K24"/>
    <mergeCell ref="M24:R24"/>
    <mergeCell ref="T24:AA24"/>
    <mergeCell ref="B28:K28"/>
    <mergeCell ref="T28:AA28"/>
    <mergeCell ref="B26:K26"/>
    <mergeCell ref="T26:AA26"/>
    <mergeCell ref="B27:K27"/>
    <mergeCell ref="T27:AA27"/>
    <mergeCell ref="S20:U20"/>
    <mergeCell ref="S21:U21"/>
    <mergeCell ref="S22:U22"/>
    <mergeCell ref="H20:J20"/>
    <mergeCell ref="L21:N21"/>
    <mergeCell ref="L22:N22"/>
    <mergeCell ref="B38:G38"/>
    <mergeCell ref="B39:G39"/>
    <mergeCell ref="B40:G40"/>
    <mergeCell ref="J38:P38"/>
    <mergeCell ref="J39:P39"/>
    <mergeCell ref="B41:G41"/>
    <mergeCell ref="B42:G42"/>
    <mergeCell ref="B43:G43"/>
    <mergeCell ref="B44:G44"/>
    <mergeCell ref="J44:P44"/>
    <mergeCell ref="B54:G54"/>
    <mergeCell ref="B55:G55"/>
    <mergeCell ref="B56:G56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</mergeCells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見積もり</vt:lpstr>
      <vt:lpstr>建築にかかわる費用</vt:lpstr>
      <vt:lpstr>資金計画</vt:lpstr>
      <vt:lpstr>見積もり!Print_Area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若土 綾乃</dc:creator>
  <cp:lastModifiedBy>Ryota Kanai</cp:lastModifiedBy>
  <cp:lastPrinted>2025-09-25T06:53:23Z</cp:lastPrinted>
  <dcterms:created xsi:type="dcterms:W3CDTF">2025-09-23T05:54:35Z</dcterms:created>
  <dcterms:modified xsi:type="dcterms:W3CDTF">2026-02-21T03:31:36Z</dcterms:modified>
</cp:coreProperties>
</file>